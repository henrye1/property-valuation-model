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Building name : </t>
        </is>
      </c>
      <c r="B1" t="inlineStr">
        <is>
          <t>55 Empire Road</t>
        </is>
      </c>
    </row>
    <row r="2">
      <c r="A2" t="inlineStr">
        <is>
          <t>Date</t>
        </is>
      </c>
      <c r="E2" s="1" t="n">
        <v>46096</v>
      </c>
    </row>
    <row r="3">
      <c r="A3" t="inlineStr">
        <is>
          <t>Tenant</t>
        </is>
      </c>
      <c r="B3" t="inlineStr">
        <is>
          <t>Description</t>
        </is>
      </c>
      <c r="C3" t="inlineStr">
        <is>
          <t>Annual escalation</t>
        </is>
      </c>
      <c r="D3" t="inlineStr">
        <is>
          <t>Lease period</t>
        </is>
      </c>
      <c r="E3" t="inlineStr">
        <is>
          <t>Lease expiry date</t>
        </is>
      </c>
      <c r="F3" t="inlineStr">
        <is>
          <t>Rentable area</t>
        </is>
      </c>
      <c r="G3" t="inlineStr">
        <is>
          <t>Gross/Net rent per month (R/m2/pm)</t>
        </is>
      </c>
      <c r="H3" t="inlineStr">
        <is>
          <t>Monthly operating expenses (R/m2/pm)</t>
        </is>
      </c>
      <c r="I3" t="inlineStr">
        <is>
          <t>Gross monthly rent</t>
        </is>
      </c>
    </row>
    <row r="4">
      <c r="B4" t="inlineStr">
        <is>
          <t>Acme Co. (Office)</t>
        </is>
      </c>
      <c r="C4" t="n">
        <v>0.08</v>
      </c>
      <c r="D4" t="inlineStr">
        <is>
          <t>3 yr</t>
        </is>
      </c>
      <c r="E4" s="1" t="n">
        <v>46934</v>
      </c>
      <c r="F4" t="n">
        <v>250</v>
      </c>
      <c r="G4" t="n">
        <v>180</v>
      </c>
      <c r="I4">
        <f>G4*F4</f>
        <v/>
      </c>
    </row>
    <row r="5">
      <c r="A5" t="inlineStr">
        <is>
          <t>Sub total</t>
        </is>
      </c>
      <c r="F5">
        <f>SUM(F4:F4)</f>
        <v/>
      </c>
      <c r="I5">
        <f>SUM(I4:I4)</f>
        <v/>
      </c>
    </row>
    <row r="6"/>
    <row r="7">
      <c r="A7" t="inlineStr">
        <is>
          <t>Parking</t>
        </is>
      </c>
      <c r="F7" t="inlineStr">
        <is>
          <t>No. bays</t>
        </is>
      </c>
      <c r="G7" t="inlineStr">
        <is>
          <t>R/bay</t>
        </is>
      </c>
    </row>
    <row r="8"/>
    <row r="9">
      <c r="E9" t="inlineStr">
        <is>
          <t>open</t>
        </is>
      </c>
      <c r="F9" t="n">
        <v>10</v>
      </c>
      <c r="G9" t="n">
        <v>500</v>
      </c>
      <c r="I9">
        <f>G9*F9</f>
        <v/>
      </c>
    </row>
    <row r="10">
      <c r="A10" t="inlineStr">
        <is>
          <t>Sub total</t>
        </is>
      </c>
      <c r="F10">
        <f>SUM(F9:F9)</f>
        <v/>
      </c>
      <c r="I10">
        <f>SUM(I9:I9)</f>
        <v/>
      </c>
    </row>
    <row r="11">
      <c r="A11" t="inlineStr">
        <is>
          <t>Gross monthly income</t>
        </is>
      </c>
      <c r="I11">
        <f>I10+I5</f>
        <v/>
      </c>
    </row>
    <row r="12">
      <c r="A12" t="inlineStr">
        <is>
          <t>Gross annual income</t>
        </is>
      </c>
      <c r="I12">
        <f>I11*12</f>
        <v/>
      </c>
    </row>
    <row r="13">
      <c r="A13" t="inlineStr">
        <is>
          <t>Operating expenses</t>
        </is>
      </c>
      <c r="E13" t="inlineStr">
        <is>
          <t>Monthly</t>
        </is>
      </c>
      <c r="F13" t="inlineStr">
        <is>
          <t>Annual</t>
        </is>
      </c>
      <c r="G13" t="inlineStr">
        <is>
          <t>R/m2/pm</t>
        </is>
      </c>
    </row>
    <row r="14">
      <c r="A14" t="inlineStr">
        <is>
          <t>Sub total</t>
        </is>
      </c>
      <c r="E14" t="n">
        <v>18000</v>
      </c>
      <c r="F14">
        <f>E14*12</f>
        <v/>
      </c>
      <c r="G14">
        <f>E14/F5</f>
        <v/>
      </c>
      <c r="H14">
        <f>F14/I12</f>
        <v/>
      </c>
    </row>
    <row r="15">
      <c r="A15" t="inlineStr">
        <is>
          <t>Vacancy allowance</t>
        </is>
      </c>
      <c r="H15" t="n">
        <v>0.05</v>
      </c>
      <c r="I15">
        <f>I12*-H15</f>
        <v/>
      </c>
    </row>
    <row r="16">
      <c r="A16" t="inlineStr">
        <is>
          <t>Monthly net income</t>
        </is>
      </c>
      <c r="I16">
        <f>I17/12</f>
        <v/>
      </c>
    </row>
    <row r="17">
      <c r="A17" t="inlineStr">
        <is>
          <t>Annual net income</t>
        </is>
      </c>
      <c r="I17">
        <f>I12-F14+I15</f>
        <v/>
      </c>
    </row>
    <row r="18">
      <c r="A18" t="inlineStr">
        <is>
          <t>Capitalised @</t>
        </is>
      </c>
      <c r="H18" t="n">
        <v>0.1</v>
      </c>
      <c r="I18">
        <f>I17/H18</f>
        <v/>
      </c>
    </row>
    <row r="19">
      <c r="A19" t="inlineStr">
        <is>
          <t>Open market assessment</t>
        </is>
      </c>
      <c r="I19" t="n">
        <v>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2026-05-03T20:26:04Z</dcterms:created>
  <dcterms:modified xsi:type="dcterms:W3CDTF">2026-05-03T20:26:04Z</dcterms:modified>
</cp:coreProperties>
</file>