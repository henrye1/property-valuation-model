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I7" i="1"/>
  <c r="I8" i="1"/>
  <c r="I15" i="1" s="1"/>
  <c r="G15" i="1" s="1"/>
  <c r="I9" i="1"/>
  <c r="I10" i="1"/>
  <c r="F15" i="1"/>
  <c r="I19" i="1"/>
  <c r="I20" i="1"/>
  <c r="F22" i="1"/>
  <c r="I22" i="1"/>
  <c r="F26" i="1"/>
  <c r="G26" i="1"/>
  <c r="I23" i="1" l="1"/>
  <c r="I24" i="1" s="1"/>
  <c r="I29" i="1" l="1"/>
  <c r="I27" i="1"/>
  <c r="H26" i="1"/>
  <c r="I30" i="1" l="1"/>
  <c r="I31" i="1" s="1"/>
  <c r="I32" i="1" s="1"/>
  <c r="I28" i="1"/>
</calcChain>
</file>

<file path=xl/sharedStrings.xml><?xml version="1.0" encoding="utf-8"?>
<sst xmlns="http://schemas.openxmlformats.org/spreadsheetml/2006/main" count="62" uniqueCount="41">
  <si>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</si>
  <si>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</si>
  <si>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</si>
  <si>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</si>
  <si>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</si>
  <si>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</si>
  <si>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</si>
  <si>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</si>
  <si>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</si>
  <si>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</si>
  <si>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</si>
  <si>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</si>
  <si>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</si>
  <si>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</si>
  <si>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</si>
  <si>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</si>
  <si>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</si>
  <si>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</si>
  <si>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</si>
  <si>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</si>
  <si>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Retail</t>
  </si>
  <si>
    <t>Vacant</t>
  </si>
  <si>
    <t>5 years</t>
  </si>
  <si>
    <t>Captain Dorego</t>
  </si>
  <si>
    <t>One Vision</t>
  </si>
  <si>
    <t>Baby Shop</t>
  </si>
  <si>
    <t>Exclusive Beds</t>
  </si>
  <si>
    <t>10 years</t>
  </si>
  <si>
    <t>Pick and Pay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</si>
  <si>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</si>
  <si>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</si>
  <si>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</si>
  <si>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</si>
  <si>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</si>
  <si>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</si>
  <si>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</si>
  <si>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</si>
  <si>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</si>
  <si>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</si>
  <si>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Zelpy 2111 CC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</si>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</sst>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13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476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2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0" t="s">
        <v>40</v>
      </c>
      <c r="B1" s="129" t="s">
        <v>39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 x14ac:dyDescent="0.3">
      <c r="A2" s="125" t="s">
        <v>38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 x14ac:dyDescent="0.3">
      <c r="A3" s="121" t="s">
        <v>37</v>
      </c>
      <c r="B3" s="120" t="s">
        <v>36</v>
      </c>
      <c r="C3" s="120" t="s">
        <v>35</v>
      </c>
      <c r="D3" s="120" t="s">
        <v>34</v>
      </c>
      <c r="E3" s="120" t="s">
        <v>33</v>
      </c>
      <c r="F3" s="119" t="s">
        <v>32</v>
      </c>
      <c r="G3" s="118" t="s">
        <v>31</v>
      </c>
      <c r="H3" s="117" t="s">
        <v>30</v>
      </c>
      <c r="I3" s="116" t="s">
        <v>29</v>
      </c>
      <c r="J3" s="14"/>
    </row>
    <row r="4" spans="1:15" s="1" customFormat="1" ht="18" customHeight="1" x14ac:dyDescent="0.25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 x14ac:dyDescent="0.25">
      <c r="A5" s="110" t="s">
        <v>28</v>
      </c>
      <c r="B5" s="110" t="s">
        <v>20</v>
      </c>
      <c r="C5" s="102" t="s">
        <v>19</v>
      </c>
      <c r="D5" s="102" t="s">
        <v>27</v>
      </c>
      <c r="E5" s="109" t="s">
        <v>18</v>
      </c>
      <c r="F5" s="108">
        <v>2638</v>
      </c>
      <c r="G5" s="107">
        <v>60</v>
      </c>
      <c r="H5" s="106"/>
      <c r="I5" s="98">
        <f>G5*F5</f>
        <v>158280</v>
      </c>
      <c r="J5" s="105"/>
      <c r="K5" s="1"/>
      <c r="L5" s="1"/>
      <c r="M5" s="1"/>
      <c r="N5" s="1"/>
      <c r="O5" s="1"/>
    </row>
    <row r="6" spans="1:15" customFormat="1" ht="18" customHeight="1" x14ac:dyDescent="0.25">
      <c r="A6" s="110" t="s">
        <v>26</v>
      </c>
      <c r="B6" s="110" t="s">
        <v>20</v>
      </c>
      <c r="C6" s="102" t="s">
        <v>19</v>
      </c>
      <c r="D6" s="102" t="s">
        <v>22</v>
      </c>
      <c r="E6" s="109" t="s">
        <v>18</v>
      </c>
      <c r="F6" s="108">
        <v>100</v>
      </c>
      <c r="G6" s="107">
        <v>160</v>
      </c>
      <c r="H6" s="106"/>
      <c r="I6" s="98">
        <f>G6*F6</f>
        <v>16000</v>
      </c>
      <c r="J6" s="105"/>
      <c r="K6" s="1"/>
      <c r="L6" s="1"/>
      <c r="M6" s="1"/>
      <c r="N6" s="1"/>
      <c r="O6" s="1"/>
    </row>
    <row r="7" spans="1:15" customFormat="1" ht="18" customHeight="1" x14ac:dyDescent="0.25">
      <c r="A7" s="110" t="s">
        <v>25</v>
      </c>
      <c r="B7" s="110" t="s">
        <v>20</v>
      </c>
      <c r="C7" s="102" t="s">
        <v>19</v>
      </c>
      <c r="D7" s="102" t="s">
        <v>22</v>
      </c>
      <c r="E7" s="109" t="s">
        <v>18</v>
      </c>
      <c r="F7" s="108">
        <v>150</v>
      </c>
      <c r="G7" s="107">
        <v>160</v>
      </c>
      <c r="H7" s="106"/>
      <c r="I7" s="98">
        <f>G7*F7</f>
        <v>24000</v>
      </c>
      <c r="J7" s="105"/>
      <c r="K7" s="1"/>
      <c r="L7" s="1"/>
      <c r="M7" s="1"/>
      <c r="N7" s="1"/>
      <c r="O7" s="1"/>
    </row>
    <row r="8" spans="1:15" customFormat="1" ht="18" customHeight="1" x14ac:dyDescent="0.25">
      <c r="A8" s="110" t="s">
        <v>24</v>
      </c>
      <c r="B8" s="110" t="s">
        <v>20</v>
      </c>
      <c r="C8" s="102" t="s">
        <v>19</v>
      </c>
      <c r="D8" s="102" t="s">
        <v>22</v>
      </c>
      <c r="E8" s="109" t="s">
        <v>18</v>
      </c>
      <c r="F8" s="108">
        <v>207</v>
      </c>
      <c r="G8" s="107">
        <v>160</v>
      </c>
      <c r="H8" s="106"/>
      <c r="I8" s="98">
        <f>G8*F8</f>
        <v>33120</v>
      </c>
      <c r="J8" s="105"/>
      <c r="K8" s="1"/>
      <c r="L8" s="1"/>
      <c r="M8" s="1"/>
      <c r="N8" s="1"/>
      <c r="O8" s="1"/>
    </row>
    <row r="9" spans="1:15" customFormat="1" ht="18" customHeight="1" x14ac:dyDescent="0.25">
      <c r="A9" s="110" t="s">
        <v>23</v>
      </c>
      <c r="B9" s="110" t="s">
        <v>20</v>
      </c>
      <c r="C9" s="102" t="s">
        <v>19</v>
      </c>
      <c r="D9" s="102" t="s">
        <v>22</v>
      </c>
      <c r="E9" s="109" t="s">
        <v>18</v>
      </c>
      <c r="F9" s="108">
        <v>120</v>
      </c>
      <c r="G9" s="107">
        <v>130</v>
      </c>
      <c r="H9" s="106"/>
      <c r="I9" s="98">
        <f>G9*F9</f>
        <v>15600</v>
      </c>
      <c r="J9" s="105"/>
      <c r="K9" s="1"/>
      <c r="L9" s="1"/>
      <c r="M9" s="1"/>
      <c r="N9" s="1"/>
      <c r="O9" s="1"/>
    </row>
    <row r="10" spans="1:15" customFormat="1" ht="18" customHeight="1" x14ac:dyDescent="0.25">
      <c r="A10" s="110" t="s">
        <v>21</v>
      </c>
      <c r="B10" s="110" t="s">
        <v>20</v>
      </c>
      <c r="C10" s="102" t="s">
        <v>19</v>
      </c>
      <c r="D10" s="102" t="s">
        <v>18</v>
      </c>
      <c r="E10" s="109" t="s">
        <v>18</v>
      </c>
      <c r="F10" s="108">
        <v>1725</v>
      </c>
      <c r="G10" s="107">
        <v>160</v>
      </c>
      <c r="H10" s="106"/>
      <c r="I10" s="98">
        <f>G10*F10</f>
        <v>276000</v>
      </c>
      <c r="J10" s="105"/>
      <c r="K10" s="1"/>
      <c r="L10" s="1"/>
      <c r="M10" s="1"/>
      <c r="N10" s="1"/>
      <c r="O10" s="1"/>
    </row>
    <row r="11" spans="1:15" customFormat="1" ht="18" customHeight="1" x14ac:dyDescent="0.25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 x14ac:dyDescent="0.25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8" customHeight="1" x14ac:dyDescent="0.25">
      <c r="A13" s="110"/>
      <c r="B13" s="110"/>
      <c r="C13" s="102"/>
      <c r="D13" s="102"/>
      <c r="E13" s="109"/>
      <c r="F13" s="108"/>
      <c r="G13" s="107"/>
      <c r="H13" s="106"/>
      <c r="I13" s="98"/>
      <c r="J13" s="105"/>
      <c r="K13" s="1"/>
      <c r="L13" s="1"/>
      <c r="M13" s="1"/>
      <c r="N13" s="1"/>
      <c r="O13" s="1"/>
    </row>
    <row r="14" spans="1:15" customFormat="1" ht="15.75" thickBot="1" x14ac:dyDescent="0.3">
      <c r="A14" s="104"/>
      <c r="B14" s="103"/>
      <c r="C14" s="82"/>
      <c r="D14" s="102"/>
      <c r="E14" s="102"/>
      <c r="F14" s="101"/>
      <c r="G14" s="100"/>
      <c r="H14" s="99"/>
      <c r="I14" s="98"/>
      <c r="J14" s="14"/>
      <c r="K14" s="1"/>
      <c r="L14" s="91"/>
      <c r="M14" s="90"/>
      <c r="N14" s="1"/>
      <c r="O14" s="1"/>
    </row>
    <row r="15" spans="1:15" customFormat="1" x14ac:dyDescent="0.25">
      <c r="A15" s="97" t="s">
        <v>6</v>
      </c>
      <c r="B15" s="74"/>
      <c r="C15" s="96"/>
      <c r="D15" s="96"/>
      <c r="E15" s="96"/>
      <c r="F15" s="95">
        <f>SUM(F5:F14)</f>
        <v>4940</v>
      </c>
      <c r="G15" s="94">
        <f>I15/F15</f>
        <v>105.87044534412955</v>
      </c>
      <c r="H15" s="93">
        <v>0</v>
      </c>
      <c r="I15" s="92">
        <f>SUM(I5:I13)</f>
        <v>523000</v>
      </c>
      <c r="J15" s="14"/>
      <c r="K15" s="1"/>
      <c r="L15" s="91"/>
      <c r="M15" s="90"/>
      <c r="N15" s="1"/>
      <c r="O15" s="1"/>
    </row>
    <row r="16" spans="1:15" customFormat="1" x14ac:dyDescent="0.25">
      <c r="A16" s="89"/>
      <c r="B16" s="88"/>
      <c r="C16" s="88"/>
      <c r="D16" s="88"/>
      <c r="E16" s="87"/>
      <c r="F16" s="86"/>
      <c r="G16" s="85"/>
      <c r="H16" s="71"/>
      <c r="I16" s="70"/>
      <c r="J16" s="14"/>
      <c r="K16" s="1"/>
      <c r="L16" s="1"/>
      <c r="M16" s="1"/>
      <c r="N16" s="1"/>
      <c r="O16" s="1"/>
    </row>
    <row r="17" spans="1:15" customFormat="1" x14ac:dyDescent="0.25">
      <c r="A17" s="84" t="s">
        <v>17</v>
      </c>
      <c r="B17" s="83"/>
      <c r="C17" s="83"/>
      <c r="D17" s="83"/>
      <c r="E17" s="82"/>
      <c r="F17" s="81" t="s">
        <v>16</v>
      </c>
      <c r="G17" s="80" t="s">
        <v>15</v>
      </c>
      <c r="H17" s="71"/>
      <c r="I17" s="70"/>
      <c r="J17" s="14"/>
      <c r="K17" s="1"/>
      <c r="L17" s="1"/>
      <c r="M17" s="1"/>
      <c r="N17" s="1"/>
      <c r="O17" s="1"/>
    </row>
    <row r="18" spans="1:15" customFormat="1" x14ac:dyDescent="0.25">
      <c r="A18" s="79"/>
      <c r="B18" s="78"/>
      <c r="C18" s="78"/>
      <c r="D18" s="78"/>
      <c r="E18" s="77"/>
      <c r="F18" s="73"/>
      <c r="G18" s="72"/>
      <c r="H18" s="71"/>
      <c r="I18" s="70"/>
      <c r="J18" s="14"/>
      <c r="K18" s="1"/>
      <c r="L18" s="1"/>
      <c r="M18" s="1"/>
      <c r="N18" s="1"/>
      <c r="O18" s="1"/>
    </row>
    <row r="19" spans="1:15" customFormat="1" x14ac:dyDescent="0.25">
      <c r="A19" s="79"/>
      <c r="B19" s="78"/>
      <c r="C19" s="78"/>
      <c r="D19" s="78"/>
      <c r="E19" s="77" t="s">
        <v>14</v>
      </c>
      <c r="F19" s="73">
        <v>0</v>
      </c>
      <c r="G19" s="72">
        <v>0</v>
      </c>
      <c r="H19" s="71"/>
      <c r="I19" s="70">
        <f>G19*F19</f>
        <v>0</v>
      </c>
      <c r="J19" s="14"/>
      <c r="K19" s="1"/>
      <c r="L19" s="1"/>
      <c r="M19" s="1"/>
      <c r="N19" s="1"/>
      <c r="O19" s="1"/>
    </row>
    <row r="20" spans="1:15" customFormat="1" x14ac:dyDescent="0.25">
      <c r="A20" s="79"/>
      <c r="B20" s="78"/>
      <c r="C20" s="78"/>
      <c r="D20" s="78"/>
      <c r="E20" s="77" t="s">
        <v>13</v>
      </c>
      <c r="F20" s="73">
        <v>218</v>
      </c>
      <c r="G20" s="72">
        <v>150</v>
      </c>
      <c r="H20" s="71"/>
      <c r="I20" s="70">
        <f>G20*F20</f>
        <v>32700</v>
      </c>
      <c r="J20" s="14"/>
      <c r="K20" s="1"/>
      <c r="L20" s="1"/>
      <c r="M20" s="1"/>
      <c r="N20" s="1"/>
      <c r="O20" s="1"/>
    </row>
    <row r="21" spans="1:15" customFormat="1" x14ac:dyDescent="0.25">
      <c r="A21" s="76"/>
      <c r="B21" s="75"/>
      <c r="C21" s="75"/>
      <c r="D21" s="75"/>
      <c r="E21" s="74"/>
      <c r="F21" s="73"/>
      <c r="G21" s="72"/>
      <c r="H21" s="71"/>
      <c r="I21" s="70"/>
      <c r="J21" s="14"/>
      <c r="K21" s="1"/>
      <c r="L21" s="1"/>
      <c r="M21" s="1"/>
      <c r="N21" s="1"/>
      <c r="O21" s="1"/>
    </row>
    <row r="22" spans="1:15" customFormat="1" ht="15.75" thickBot="1" x14ac:dyDescent="0.3">
      <c r="A22" s="69" t="s">
        <v>6</v>
      </c>
      <c r="B22" s="68"/>
      <c r="C22" s="68"/>
      <c r="D22" s="68"/>
      <c r="E22" s="67"/>
      <c r="F22" s="66">
        <f>SUM(F18:F21)</f>
        <v>218</v>
      </c>
      <c r="G22" s="65">
        <v>0</v>
      </c>
      <c r="H22" s="64"/>
      <c r="I22" s="63">
        <f>SUM(I18:I21)</f>
        <v>32700</v>
      </c>
      <c r="J22" s="14"/>
      <c r="K22" s="1"/>
      <c r="L22" s="1"/>
      <c r="M22" s="1"/>
      <c r="N22" s="1"/>
      <c r="O22" s="1"/>
    </row>
    <row r="23" spans="1:15" customFormat="1" ht="18.75" customHeight="1" thickBot="1" x14ac:dyDescent="0.3">
      <c r="A23" s="62" t="s">
        <v>12</v>
      </c>
      <c r="B23" s="61"/>
      <c r="C23" s="61"/>
      <c r="D23" s="61"/>
      <c r="E23" s="60"/>
      <c r="F23" s="59"/>
      <c r="G23" s="58"/>
      <c r="H23" s="53"/>
      <c r="I23" s="51">
        <f>+I22+I15</f>
        <v>555700</v>
      </c>
      <c r="J23" s="14"/>
      <c r="K23" s="1"/>
      <c r="L23" s="24"/>
      <c r="M23" s="1"/>
      <c r="N23" s="1"/>
      <c r="O23" s="1"/>
    </row>
    <row r="24" spans="1:15" customFormat="1" ht="18.75" customHeight="1" thickBot="1" x14ac:dyDescent="0.3">
      <c r="A24" s="57" t="s">
        <v>11</v>
      </c>
      <c r="B24" s="56"/>
      <c r="C24" s="56"/>
      <c r="D24" s="56"/>
      <c r="E24" s="55"/>
      <c r="F24" s="54"/>
      <c r="G24" s="53"/>
      <c r="H24" s="52"/>
      <c r="I24" s="51">
        <f>+I23*12</f>
        <v>6668400</v>
      </c>
      <c r="J24" s="14"/>
      <c r="K24" s="1"/>
      <c r="L24" s="1"/>
      <c r="M24" s="1"/>
      <c r="N24" s="1"/>
      <c r="O24" s="1"/>
    </row>
    <row r="25" spans="1:15" customFormat="1" ht="18.75" customHeight="1" x14ac:dyDescent="0.25">
      <c r="A25" s="50" t="s">
        <v>10</v>
      </c>
      <c r="B25" s="49"/>
      <c r="C25" s="49"/>
      <c r="D25" s="49"/>
      <c r="E25" s="48" t="s">
        <v>9</v>
      </c>
      <c r="F25" s="48" t="s">
        <v>8</v>
      </c>
      <c r="G25" s="47" t="s">
        <v>7</v>
      </c>
      <c r="H25" s="46"/>
      <c r="I25" s="45"/>
      <c r="J25" s="14"/>
      <c r="K25" s="1"/>
      <c r="L25" s="1"/>
      <c r="M25" s="1"/>
      <c r="N25" s="1"/>
      <c r="O25" s="1"/>
    </row>
    <row r="26" spans="1:15" customFormat="1" ht="15.75" thickBot="1" x14ac:dyDescent="0.3">
      <c r="A26" s="44" t="s">
        <v>6</v>
      </c>
      <c r="B26" s="43"/>
      <c r="C26" s="43"/>
      <c r="D26" s="43"/>
      <c r="E26" s="42">
        <v>100000</v>
      </c>
      <c r="F26" s="42">
        <f>E26*12</f>
        <v>1200000</v>
      </c>
      <c r="G26" s="41">
        <f>E26/F15</f>
        <v>20.242914979757085</v>
      </c>
      <c r="H26" s="40">
        <f>F26/I24</f>
        <v>0.17995321216483715</v>
      </c>
      <c r="I26" s="39"/>
      <c r="J26" s="14"/>
      <c r="K26" s="1"/>
      <c r="L26" s="24"/>
      <c r="M26" s="1"/>
      <c r="N26" s="1"/>
      <c r="O26" s="24"/>
    </row>
    <row r="27" spans="1:15" customFormat="1" ht="18.75" customHeight="1" x14ac:dyDescent="0.25">
      <c r="A27" s="38" t="s">
        <v>5</v>
      </c>
      <c r="B27" s="37"/>
      <c r="C27" s="37"/>
      <c r="D27" s="37"/>
      <c r="E27" s="36"/>
      <c r="F27" s="35"/>
      <c r="G27" s="34"/>
      <c r="H27" s="33">
        <v>0.01</v>
      </c>
      <c r="I27" s="32">
        <f>+I24*-H27</f>
        <v>-66684</v>
      </c>
      <c r="J27" s="14"/>
      <c r="K27" s="1"/>
      <c r="L27" s="1"/>
      <c r="M27" s="1"/>
      <c r="N27" s="1"/>
      <c r="O27" s="24"/>
    </row>
    <row r="28" spans="1:15" customFormat="1" ht="18.75" customHeight="1" x14ac:dyDescent="0.25">
      <c r="A28" s="31" t="s">
        <v>4</v>
      </c>
      <c r="B28" s="30"/>
      <c r="C28" s="30"/>
      <c r="D28" s="30"/>
      <c r="E28" s="29"/>
      <c r="F28" s="28"/>
      <c r="G28" s="27"/>
      <c r="H28" s="26"/>
      <c r="I28" s="25">
        <f>+I29/12</f>
        <v>450143</v>
      </c>
      <c r="J28" s="14"/>
      <c r="K28" s="1"/>
      <c r="L28" s="1"/>
      <c r="M28" s="1"/>
      <c r="N28" s="1"/>
      <c r="O28" s="24"/>
    </row>
    <row r="29" spans="1:15" customFormat="1" ht="18.75" customHeight="1" x14ac:dyDescent="0.25">
      <c r="A29" s="20" t="s">
        <v>3</v>
      </c>
      <c r="B29" s="18"/>
      <c r="C29" s="18"/>
      <c r="D29" s="18"/>
      <c r="E29" s="19"/>
      <c r="F29" s="19"/>
      <c r="G29" s="23"/>
      <c r="H29" s="16"/>
      <c r="I29" s="21">
        <f>+I24-F26+I27</f>
        <v>5401716</v>
      </c>
      <c r="J29" s="14"/>
      <c r="K29" s="1"/>
      <c r="L29" s="1"/>
      <c r="M29" s="1"/>
      <c r="N29" s="1"/>
      <c r="O29" s="1"/>
    </row>
    <row r="30" spans="1:15" customFormat="1" ht="18.75" customHeight="1" x14ac:dyDescent="0.25">
      <c r="A30" s="20" t="s">
        <v>2</v>
      </c>
      <c r="B30" s="18"/>
      <c r="C30" s="18"/>
      <c r="D30" s="18"/>
      <c r="E30" s="19"/>
      <c r="F30" s="19"/>
      <c r="G30" s="22"/>
      <c r="H30" s="16">
        <v>0.1</v>
      </c>
      <c r="I30" s="21">
        <f>+I29/H30</f>
        <v>54017160</v>
      </c>
      <c r="J30" s="14"/>
      <c r="K30" s="1"/>
      <c r="L30" s="1"/>
      <c r="M30" s="1"/>
      <c r="N30" s="1"/>
      <c r="O30" s="1"/>
    </row>
    <row r="31" spans="1:15" customFormat="1" ht="18.75" customHeight="1" x14ac:dyDescent="0.25">
      <c r="A31" s="20" t="s">
        <v>1</v>
      </c>
      <c r="B31" s="18"/>
      <c r="C31" s="18"/>
      <c r="D31" s="18"/>
      <c r="E31" s="19"/>
      <c r="F31" s="18"/>
      <c r="G31" s="17"/>
      <c r="H31" s="16"/>
      <c r="I31" s="15">
        <f>ROUND(I30,-4)</f>
        <v>54020000</v>
      </c>
      <c r="J31" s="14"/>
      <c r="K31" s="1"/>
      <c r="L31" s="1"/>
      <c r="M31" s="1"/>
      <c r="N31" s="1"/>
      <c r="O31" s="1"/>
    </row>
    <row r="32" spans="1:15" customFormat="1" ht="16.5" thickBot="1" x14ac:dyDescent="0.3">
      <c r="A32" s="13" t="s">
        <v>0</v>
      </c>
      <c r="B32" s="12"/>
      <c r="C32" s="12"/>
      <c r="D32" s="12"/>
      <c r="E32" s="11"/>
      <c r="F32" s="10"/>
      <c r="G32" s="9"/>
      <c r="H32" s="9"/>
      <c r="I32" s="8">
        <f>I31</f>
        <v>54020000</v>
      </c>
      <c r="J32" s="1"/>
      <c r="K32" s="1"/>
      <c r="L32" s="1"/>
      <c r="M32" s="1"/>
      <c r="N32" s="1"/>
      <c r="O32" s="1"/>
    </row>
    <row r="33" spans="1:15" customFormat="1" x14ac:dyDescent="0.25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6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7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5"/>
      <c r="C43" s="5"/>
      <c r="D43" s="5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 x14ac:dyDescent="0.25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 x14ac:dyDescent="0.25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 x14ac:dyDescent="0.25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 x14ac:dyDescent="0.25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 x14ac:dyDescent="0.25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 x14ac:dyDescent="0.25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 x14ac:dyDescent="0.25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s="1" customFormat="1" x14ac:dyDescent="0.25">
      <c r="A86" s="2"/>
      <c r="F86" s="3"/>
      <c r="G86" s="4"/>
      <c r="H86" s="4"/>
    </row>
    <row r="87" spans="1:15" s="1" customFormat="1" x14ac:dyDescent="0.25">
      <c r="A87" s="2"/>
      <c r="F87" s="3"/>
      <c r="G87" s="4"/>
      <c r="H87" s="4"/>
    </row>
    <row r="88" spans="1:15" s="1" customFormat="1" x14ac:dyDescent="0.25">
      <c r="A88" s="2"/>
      <c r="F88" s="3"/>
      <c r="G88" s="4"/>
      <c r="H88" s="4"/>
    </row>
    <row r="89" spans="1:15" s="1" customFormat="1" x14ac:dyDescent="0.25">
      <c r="A89" s="2"/>
      <c r="F89" s="3"/>
      <c r="G89" s="4"/>
      <c r="H89" s="4"/>
    </row>
    <row r="90" spans="1:15" s="1" customFormat="1" x14ac:dyDescent="0.25">
      <c r="A90" s="2"/>
      <c r="F90" s="3"/>
      <c r="G90" s="4"/>
      <c r="H90" s="4"/>
    </row>
    <row r="91" spans="1:15" s="1" customFormat="1" x14ac:dyDescent="0.25">
      <c r="A91" s="2"/>
      <c r="F91" s="3"/>
      <c r="G91" s="4"/>
      <c r="H91" s="4"/>
    </row>
    <row r="92" spans="1:15" s="1" customFormat="1" x14ac:dyDescent="0.25">
      <c r="A92" s="2"/>
      <c r="F92" s="3"/>
      <c r="G92" s="4"/>
      <c r="H92" s="4"/>
    </row>
    <row r="93" spans="1:15" s="1" customFormat="1" x14ac:dyDescent="0.25">
      <c r="A93" s="2"/>
      <c r="F93" s="3"/>
      <c r="G93" s="4"/>
      <c r="H93" s="4"/>
    </row>
    <row r="94" spans="1:15" s="1" customFormat="1" x14ac:dyDescent="0.25">
      <c r="A94" s="2"/>
      <c r="F94" s="3"/>
      <c r="G94" s="4"/>
      <c r="H94" s="4"/>
    </row>
    <row r="95" spans="1:15" s="1" customFormat="1" x14ac:dyDescent="0.25">
      <c r="A95" s="2"/>
      <c r="F95" s="3"/>
      <c r="G95" s="4"/>
      <c r="H95" s="4"/>
    </row>
    <row r="96" spans="1:15" s="1" customFormat="1" x14ac:dyDescent="0.25">
      <c r="A96" s="2"/>
      <c r="F96" s="3"/>
      <c r="G96" s="4"/>
      <c r="H96" s="4"/>
    </row>
    <row r="97" spans="6:8" s="1" customFormat="1" x14ac:dyDescent="0.25">
      <c r="F97" s="3"/>
      <c r="G97" s="4"/>
      <c r="H97" s="4"/>
    </row>
    <row r="98" spans="6:8" s="1" customFormat="1" x14ac:dyDescent="0.25">
      <c r="F98" s="3"/>
    </row>
    <row r="99" spans="6:8" s="1" customFormat="1" x14ac:dyDescent="0.25">
      <c r="F99" s="3"/>
    </row>
    <row r="100" spans="6:8" s="1" customFormat="1" x14ac:dyDescent="0.25">
      <c r="F100" s="3"/>
    </row>
    <row r="101" spans="6:8" s="1" customFormat="1" x14ac:dyDescent="0.25">
      <c r="F101" s="3"/>
    </row>
    <row r="102" spans="6:8" s="1" customFormat="1" x14ac:dyDescent="0.25">
      <c r="F102" s="3"/>
    </row>
    <row r="103" spans="6:8" s="1" customFormat="1" x14ac:dyDescent="0.25">
      <c r="F103" s="3"/>
    </row>
    <row r="104" spans="6:8" s="1" customFormat="1" x14ac:dyDescent="0.25">
      <c r="F104" s="3"/>
    </row>
    <row r="105" spans="6:8" s="1" customFormat="1" x14ac:dyDescent="0.25">
      <c r="F105" s="3"/>
    </row>
    <row r="106" spans="6:8" s="1" customFormat="1" x14ac:dyDescent="0.25">
      <c r="F106" s="3"/>
    </row>
    <row r="107" spans="6:8" s="1" customFormat="1" x14ac:dyDescent="0.25">
      <c r="F107" s="3"/>
    </row>
    <row r="108" spans="6:8" s="1" customFormat="1" x14ac:dyDescent="0.25">
      <c r="F108" s="3"/>
    </row>
    <row r="109" spans="6:8" s="1" customFormat="1" x14ac:dyDescent="0.25">
      <c r="F109" s="3"/>
    </row>
    <row r="110" spans="6:8" s="1" customFormat="1" x14ac:dyDescent="0.25">
      <c r="F110" s="3"/>
    </row>
    <row r="111" spans="6:8" s="1" customFormat="1" x14ac:dyDescent="0.25">
      <c r="F111" s="3"/>
    </row>
    <row r="112" spans="6:8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  <row r="182" spans="6:6" s="1" customFormat="1" x14ac:dyDescent="0.25">
      <c r="F182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2011-08-24T12:18:29Z</dcterms:created>
  <dcterms:modified xsi:type="dcterms:W3CDTF">2011-08-24T12:18:40Z</dcterms:modified>
</cp:coreProperties>
</file>