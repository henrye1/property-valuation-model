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280" yWindow="2145" windowWidth="16155" windowHeight="640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F10"/>
  <c r="I10"/>
  <c r="G10" s="1"/>
  <c r="I14"/>
  <c r="I15"/>
  <c r="I16"/>
  <c r="F17"/>
  <c r="I17"/>
  <c r="I18" s="1"/>
  <c r="I19" s="1"/>
  <c r="E21"/>
  <c r="G21" s="1"/>
  <c r="I22" l="1"/>
  <c r="F21"/>
  <c r="H21" s="1"/>
  <c r="I24" l="1"/>
  <c r="I25" l="1"/>
  <c r="I26" s="1"/>
  <c r="I23"/>
</calcChain>
</file>

<file path=xl/sharedStrings.xml><?xml version="1.0" encoding="utf-8"?>
<sst xmlns="http://schemas.openxmlformats.org/spreadsheetml/2006/main" count="41" uniqueCount="32">
  <si>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</si>
  <si>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</si>
  <si>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</si>
  <si>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</si>
  <si>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</si>
  <si>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</si>
  <si>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</si>
  <si>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</si>
  <si>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</si>
  <si>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</si>
  <si>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</si>
  <si>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</si>
  <si>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</si>
  <si>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</si>
  <si>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</si>
  <si>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</si>
  <si>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</si>
  <si>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</si>
  <si>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SHOPS</t>
  </si>
  <si>
    <t>FLATS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</si>
  <si>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</si>
  <si>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</si>
  <si>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</si>
  <si>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</si>
  <si>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</si>
  <si>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</si>
  <si>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</si>
  <si>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</si>
  <si>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</si>
  <si>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</si>
  <si>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Broadway Heights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</si>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</sst>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3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B1" sqref="B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2" t="s">
        <v>31</v>
      </c>
      <c r="B1" s="131" t="s">
        <v>30</v>
      </c>
      <c r="C1" s="131"/>
      <c r="D1" s="131"/>
      <c r="E1" s="130"/>
      <c r="F1" s="130"/>
      <c r="G1" s="130"/>
      <c r="H1" s="130"/>
      <c r="I1" s="129"/>
      <c r="J1" s="16"/>
    </row>
    <row r="2" spans="1:13" s="1" customFormat="1" ht="20.25" customHeight="1" thickBot="1">
      <c r="A2" s="128" t="s">
        <v>29</v>
      </c>
      <c r="B2" s="126"/>
      <c r="C2" s="126"/>
      <c r="D2" s="126"/>
      <c r="E2" s="127">
        <v>40743</v>
      </c>
      <c r="F2" s="126"/>
      <c r="G2" s="126"/>
      <c r="H2" s="126"/>
      <c r="I2" s="125"/>
      <c r="J2" s="16"/>
    </row>
    <row r="3" spans="1:13" s="1" customFormat="1" ht="63.75" customHeight="1" thickBot="1">
      <c r="A3" s="124" t="s">
        <v>28</v>
      </c>
      <c r="B3" s="123" t="s">
        <v>27</v>
      </c>
      <c r="C3" s="123" t="s">
        <v>26</v>
      </c>
      <c r="D3" s="123" t="s">
        <v>25</v>
      </c>
      <c r="E3" s="123" t="s">
        <v>24</v>
      </c>
      <c r="F3" s="122" t="s">
        <v>23</v>
      </c>
      <c r="G3" s="121" t="s">
        <v>22</v>
      </c>
      <c r="H3" s="120" t="s">
        <v>21</v>
      </c>
      <c r="I3" s="119" t="s">
        <v>20</v>
      </c>
      <c r="J3" s="16"/>
    </row>
    <row r="4" spans="1:13" s="1" customFormat="1">
      <c r="A4" s="116" t="s">
        <v>19</v>
      </c>
      <c r="B4" s="116" t="s">
        <v>19</v>
      </c>
      <c r="C4" s="109" t="s">
        <v>17</v>
      </c>
      <c r="D4" s="109" t="s">
        <v>17</v>
      </c>
      <c r="E4" s="109" t="s">
        <v>17</v>
      </c>
      <c r="F4" s="118">
        <v>5</v>
      </c>
      <c r="G4" s="113">
        <v>3200</v>
      </c>
      <c r="H4" s="112"/>
      <c r="I4" s="105">
        <f>G4*F4</f>
        <v>16000</v>
      </c>
      <c r="J4" s="16"/>
      <c r="L4" s="99"/>
      <c r="M4" s="98"/>
    </row>
    <row r="5" spans="1:13" s="1" customFormat="1">
      <c r="A5" s="116" t="s">
        <v>18</v>
      </c>
      <c r="B5" s="116" t="s">
        <v>18</v>
      </c>
      <c r="C5" s="109" t="s">
        <v>17</v>
      </c>
      <c r="D5" s="109" t="s">
        <v>17</v>
      </c>
      <c r="E5" s="109" t="s">
        <v>17</v>
      </c>
      <c r="F5" s="117">
        <v>681</v>
      </c>
      <c r="G5" s="113">
        <v>40</v>
      </c>
      <c r="H5" s="112"/>
      <c r="I5" s="105">
        <f>G5*F5</f>
        <v>27240</v>
      </c>
      <c r="J5" s="16"/>
      <c r="L5" s="99"/>
      <c r="M5" s="98"/>
    </row>
    <row r="6" spans="1:13" s="1" customFormat="1">
      <c r="A6" s="116"/>
      <c r="B6" s="116"/>
      <c r="C6" s="109"/>
      <c r="D6" s="109"/>
      <c r="E6" s="109"/>
      <c r="F6" s="117"/>
      <c r="G6" s="113"/>
      <c r="H6" s="112"/>
      <c r="I6" s="105"/>
      <c r="J6" s="16"/>
      <c r="L6" s="99"/>
      <c r="M6" s="98"/>
    </row>
    <row r="7" spans="1:13" s="1" customFormat="1">
      <c r="A7" s="116"/>
      <c r="B7" s="115"/>
      <c r="C7" s="109"/>
      <c r="D7" s="109"/>
      <c r="E7" s="109"/>
      <c r="F7" s="117"/>
      <c r="G7" s="113"/>
      <c r="H7" s="112"/>
      <c r="I7" s="105"/>
      <c r="J7" s="16"/>
      <c r="L7" s="99"/>
      <c r="M7" s="98"/>
    </row>
    <row r="8" spans="1:13" s="1" customFormat="1">
      <c r="A8" s="116"/>
      <c r="B8" s="115"/>
      <c r="C8" s="109"/>
      <c r="D8" s="109"/>
      <c r="E8" s="109"/>
      <c r="F8" s="114"/>
      <c r="G8" s="113"/>
      <c r="H8" s="112"/>
      <c r="I8" s="105"/>
      <c r="J8" s="16"/>
      <c r="K8" s="2"/>
      <c r="L8" s="99"/>
      <c r="M8" s="98"/>
    </row>
    <row r="9" spans="1:13" s="1" customFormat="1" ht="15.75" thickBot="1">
      <c r="A9" s="111"/>
      <c r="B9" s="110"/>
      <c r="C9" s="90"/>
      <c r="D9" s="109"/>
      <c r="E9" s="109"/>
      <c r="F9" s="108"/>
      <c r="G9" s="107"/>
      <c r="H9" s="106"/>
      <c r="I9" s="105"/>
      <c r="J9" s="16"/>
      <c r="L9" s="99"/>
      <c r="M9" s="98"/>
    </row>
    <row r="10" spans="1:13" s="1" customFormat="1">
      <c r="A10" s="104" t="s">
        <v>5</v>
      </c>
      <c r="B10" s="82"/>
      <c r="C10" s="103"/>
      <c r="D10" s="103"/>
      <c r="E10" s="103"/>
      <c r="F10" s="102">
        <f>SUM(F4:F9)</f>
        <v>686</v>
      </c>
      <c r="G10" s="101">
        <f>I10/F10</f>
        <v>63.032069970845484</v>
      </c>
      <c r="H10" s="100">
        <v>0</v>
      </c>
      <c r="I10" s="100">
        <f>SUM(I4:I9)</f>
        <v>43240</v>
      </c>
      <c r="J10" s="16"/>
      <c r="L10" s="99"/>
      <c r="M10" s="98"/>
    </row>
    <row r="11" spans="1:13" s="1" customFormat="1">
      <c r="A11" s="97"/>
      <c r="B11" s="96"/>
      <c r="C11" s="96"/>
      <c r="D11" s="96"/>
      <c r="E11" s="95"/>
      <c r="F11" s="94"/>
      <c r="G11" s="93"/>
      <c r="H11" s="79"/>
      <c r="I11" s="78"/>
      <c r="J11" s="16"/>
    </row>
    <row r="12" spans="1:13" s="1" customFormat="1">
      <c r="A12" s="92" t="s">
        <v>16</v>
      </c>
      <c r="B12" s="91"/>
      <c r="C12" s="91"/>
      <c r="D12" s="91"/>
      <c r="E12" s="90"/>
      <c r="F12" s="89" t="s">
        <v>15</v>
      </c>
      <c r="G12" s="88" t="s">
        <v>14</v>
      </c>
      <c r="H12" s="79"/>
      <c r="I12" s="78"/>
      <c r="J12" s="16"/>
    </row>
    <row r="13" spans="1:13" s="1" customFormat="1">
      <c r="A13" s="87"/>
      <c r="B13" s="86"/>
      <c r="C13" s="86"/>
      <c r="D13" s="86"/>
      <c r="E13" s="85"/>
      <c r="F13" s="81"/>
      <c r="G13" s="80"/>
      <c r="H13" s="79"/>
      <c r="I13" s="78"/>
      <c r="J13" s="16"/>
    </row>
    <row r="14" spans="1:13" s="1" customFormat="1">
      <c r="A14" s="87"/>
      <c r="B14" s="86"/>
      <c r="C14" s="86"/>
      <c r="D14" s="86"/>
      <c r="E14" s="85" t="s">
        <v>13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7"/>
      <c r="B15" s="86"/>
      <c r="C15" s="86"/>
      <c r="D15" s="86"/>
      <c r="E15" s="85" t="s">
        <v>12</v>
      </c>
      <c r="F15" s="81"/>
      <c r="G15" s="80"/>
      <c r="H15" s="79"/>
      <c r="I15" s="78">
        <f>G15*F15</f>
        <v>0</v>
      </c>
      <c r="J15" s="16"/>
    </row>
    <row r="16" spans="1:13" s="1" customFormat="1">
      <c r="A16" s="84"/>
      <c r="B16" s="83"/>
      <c r="C16" s="83"/>
      <c r="D16" s="83"/>
      <c r="E16" s="82"/>
      <c r="F16" s="81"/>
      <c r="G16" s="80"/>
      <c r="H16" s="79"/>
      <c r="I16" s="78">
        <f>G16*F16</f>
        <v>0</v>
      </c>
      <c r="J16" s="16"/>
    </row>
    <row r="17" spans="1:15" s="1" customFormat="1" ht="15.75" thickBot="1">
      <c r="A17" s="77" t="s">
        <v>5</v>
      </c>
      <c r="B17" s="76"/>
      <c r="C17" s="76"/>
      <c r="D17" s="76"/>
      <c r="E17" s="75"/>
      <c r="F17" s="74">
        <f>SUM(F13:F16)</f>
        <v>0</v>
      </c>
      <c r="G17" s="73"/>
      <c r="H17" s="72"/>
      <c r="I17" s="71">
        <f>SUM(I13:I16)</f>
        <v>0</v>
      </c>
      <c r="J17" s="16"/>
    </row>
    <row r="18" spans="1:15" customFormat="1" ht="18.75" customHeight="1" thickBot="1">
      <c r="A18" s="70" t="s">
        <v>11</v>
      </c>
      <c r="B18" s="69"/>
      <c r="C18" s="69"/>
      <c r="D18" s="69"/>
      <c r="E18" s="68"/>
      <c r="F18" s="67"/>
      <c r="G18" s="66"/>
      <c r="H18" s="61"/>
      <c r="I18" s="59">
        <f>+I17+I10</f>
        <v>43240</v>
      </c>
      <c r="J18" s="16"/>
      <c r="K18" s="1"/>
      <c r="L18" s="32"/>
      <c r="M18" s="1"/>
      <c r="N18" s="1"/>
      <c r="O18" s="1"/>
    </row>
    <row r="19" spans="1:15" customFormat="1" ht="18.75" customHeight="1" thickBot="1">
      <c r="A19" s="65" t="s">
        <v>10</v>
      </c>
      <c r="B19" s="64"/>
      <c r="C19" s="64"/>
      <c r="D19" s="64"/>
      <c r="E19" s="63"/>
      <c r="F19" s="62"/>
      <c r="G19" s="61"/>
      <c r="H19" s="60"/>
      <c r="I19" s="59">
        <f>+I18*12</f>
        <v>518880</v>
      </c>
      <c r="J19" s="16"/>
      <c r="K19" s="1"/>
      <c r="L19" s="1"/>
      <c r="M19" s="1"/>
      <c r="N19" s="1"/>
      <c r="O19" s="1"/>
    </row>
    <row r="20" spans="1:15" customFormat="1" ht="18.75" customHeight="1">
      <c r="A20" s="58" t="s">
        <v>9</v>
      </c>
      <c r="B20" s="57"/>
      <c r="C20" s="57"/>
      <c r="D20" s="57"/>
      <c r="E20" s="56" t="s">
        <v>8</v>
      </c>
      <c r="F20" s="56" t="s">
        <v>7</v>
      </c>
      <c r="G20" s="55" t="s">
        <v>6</v>
      </c>
      <c r="H20" s="54"/>
      <c r="I20" s="53"/>
      <c r="J20" s="16"/>
      <c r="K20" s="1"/>
      <c r="L20" s="1"/>
      <c r="M20" s="1"/>
      <c r="N20" s="1"/>
      <c r="O20" s="1"/>
    </row>
    <row r="21" spans="1:15" customFormat="1" ht="15.75" thickBot="1">
      <c r="A21" s="52" t="s">
        <v>5</v>
      </c>
      <c r="B21" s="51"/>
      <c r="C21" s="51"/>
      <c r="D21" s="51"/>
      <c r="E21" s="50">
        <f>201830/12</f>
        <v>16819.166666666668</v>
      </c>
      <c r="F21" s="50">
        <f>E21*12</f>
        <v>201830</v>
      </c>
      <c r="G21" s="49">
        <f>E21/F10</f>
        <v>24.51773566569485</v>
      </c>
      <c r="H21" s="48">
        <f>F21/I19</f>
        <v>0.38897240209682393</v>
      </c>
      <c r="I21" s="47"/>
      <c r="J21" s="16"/>
      <c r="K21" s="1"/>
      <c r="L21" s="32"/>
      <c r="M21" s="1"/>
      <c r="N21" s="1"/>
      <c r="O21" s="32"/>
    </row>
    <row r="22" spans="1:15" customFormat="1" ht="18.75" customHeight="1">
      <c r="A22" s="46" t="s">
        <v>4</v>
      </c>
      <c r="B22" s="45"/>
      <c r="C22" s="45"/>
      <c r="D22" s="45"/>
      <c r="E22" s="44"/>
      <c r="F22" s="43"/>
      <c r="G22" s="42"/>
      <c r="H22" s="41">
        <v>0.03</v>
      </c>
      <c r="I22" s="40">
        <f>+I19*-H22</f>
        <v>-15566.4</v>
      </c>
      <c r="J22" s="16"/>
      <c r="K22" s="1"/>
      <c r="L22" s="1"/>
      <c r="M22" s="1"/>
      <c r="N22" s="1"/>
      <c r="O22" s="32"/>
    </row>
    <row r="23" spans="1:15" customFormat="1" ht="18.75" customHeight="1">
      <c r="A23" s="39" t="s">
        <v>3</v>
      </c>
      <c r="B23" s="38"/>
      <c r="C23" s="38"/>
      <c r="D23" s="38"/>
      <c r="E23" s="37"/>
      <c r="F23" s="36"/>
      <c r="G23" s="35"/>
      <c r="H23" s="34"/>
      <c r="I23" s="33">
        <f>+I24/12</f>
        <v>25123.633333333331</v>
      </c>
      <c r="J23" s="16"/>
      <c r="K23" s="1"/>
      <c r="L23" s="1"/>
      <c r="M23" s="1"/>
      <c r="N23" s="1"/>
      <c r="O23" s="32"/>
    </row>
    <row r="24" spans="1:15" customFormat="1" ht="18.75" customHeight="1">
      <c r="A24" s="28" t="s">
        <v>2</v>
      </c>
      <c r="B24" s="26"/>
      <c r="C24" s="26"/>
      <c r="D24" s="26"/>
      <c r="E24" s="27"/>
      <c r="F24" s="27"/>
      <c r="G24" s="31"/>
      <c r="H24" s="24"/>
      <c r="I24" s="29">
        <f>+I19-F21+I22</f>
        <v>301483.59999999998</v>
      </c>
      <c r="J24" s="16"/>
      <c r="K24" s="1"/>
      <c r="L24" s="1"/>
      <c r="M24" s="1"/>
      <c r="N24" s="1"/>
      <c r="O24" s="1"/>
    </row>
    <row r="25" spans="1:15" customFormat="1" ht="18.75" customHeight="1">
      <c r="A25" s="28" t="s">
        <v>1</v>
      </c>
      <c r="B25" s="26"/>
      <c r="C25" s="26"/>
      <c r="D25" s="26"/>
      <c r="E25" s="27"/>
      <c r="F25" s="27"/>
      <c r="G25" s="30"/>
      <c r="H25" s="24">
        <v>0.12</v>
      </c>
      <c r="I25" s="29">
        <f>+I24/H25</f>
        <v>2512363.333333333</v>
      </c>
      <c r="J25" s="16"/>
      <c r="K25" s="1"/>
      <c r="L25" s="1"/>
      <c r="M25" s="1"/>
      <c r="N25" s="1"/>
      <c r="O25" s="1"/>
    </row>
    <row r="26" spans="1:15" customFormat="1" ht="18.75" customHeight="1">
      <c r="A26" s="28" t="s">
        <v>0</v>
      </c>
      <c r="B26" s="26"/>
      <c r="C26" s="26"/>
      <c r="D26" s="26"/>
      <c r="E26" s="27"/>
      <c r="F26" s="26"/>
      <c r="G26" s="25"/>
      <c r="H26" s="24"/>
      <c r="I26" s="23">
        <f>ROUND(I25,-4)</f>
        <v>2510000</v>
      </c>
      <c r="J26" s="16"/>
      <c r="K26" s="1"/>
      <c r="L26" s="1"/>
      <c r="M26" s="1"/>
      <c r="N26" s="1"/>
      <c r="O26" s="1"/>
    </row>
    <row r="27" spans="1:15" customFormat="1" ht="39" customHeight="1" thickBot="1">
      <c r="A27" s="22"/>
      <c r="B27" s="20"/>
      <c r="C27" s="20"/>
      <c r="D27" s="20"/>
      <c r="E27" s="21"/>
      <c r="F27" s="20"/>
      <c r="G27" s="19"/>
      <c r="H27" s="18"/>
      <c r="I27" s="17"/>
      <c r="J27" s="16"/>
      <c r="K27" s="1"/>
      <c r="L27" s="15"/>
      <c r="M27" s="1"/>
      <c r="N27" s="1"/>
      <c r="O27" s="1"/>
    </row>
    <row r="28" spans="1:15" customFormat="1" ht="15.75" thickTop="1">
      <c r="A28" s="11"/>
      <c r="B28" s="14"/>
      <c r="C28" s="14"/>
      <c r="D28" s="14"/>
      <c r="E28" s="14"/>
      <c r="F28" s="14"/>
      <c r="G28" s="13"/>
      <c r="H28" s="13"/>
      <c r="I28" s="12"/>
      <c r="J28" s="1"/>
      <c r="K28" s="1"/>
      <c r="L28" s="1"/>
      <c r="M28" s="1"/>
      <c r="N28" s="1"/>
      <c r="O28" s="1"/>
    </row>
    <row r="29" spans="1:15" customFormat="1">
      <c r="A29" s="11"/>
      <c r="B29" s="14"/>
      <c r="C29" s="14"/>
      <c r="D29" s="14"/>
      <c r="E29" s="14"/>
      <c r="F29" s="14"/>
      <c r="G29" s="13"/>
      <c r="H29" s="13"/>
      <c r="I29" s="12"/>
      <c r="J29" s="1"/>
      <c r="K29" s="1"/>
      <c r="L29" s="1"/>
      <c r="M29" s="1"/>
      <c r="N29" s="1"/>
      <c r="O29" s="1"/>
    </row>
    <row r="30" spans="1:15" customFormat="1">
      <c r="A30" s="11"/>
      <c r="B30" s="10"/>
      <c r="C30" s="10"/>
      <c r="D30" s="10"/>
      <c r="E30" s="9"/>
      <c r="F30" s="9"/>
      <c r="G30" s="4"/>
      <c r="H30" s="4"/>
      <c r="I30" s="8"/>
      <c r="J30" s="1"/>
      <c r="K30" s="1"/>
      <c r="L30" s="1"/>
      <c r="M30" s="1"/>
      <c r="N30" s="1"/>
      <c r="O30" s="1"/>
    </row>
    <row r="31" spans="1:15" customFormat="1">
      <c r="A31" s="2"/>
      <c r="B31" s="6"/>
      <c r="C31" s="6"/>
      <c r="D31" s="6"/>
      <c r="E31" s="1"/>
      <c r="F31" s="3"/>
      <c r="G31" s="4"/>
      <c r="H31" s="4"/>
      <c r="I31" s="8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s="1" customFormat="1">
      <c r="A34" s="2"/>
      <c r="B34" s="7"/>
      <c r="C34" s="6"/>
      <c r="D34" s="6"/>
      <c r="F34" s="3"/>
      <c r="G34" s="4"/>
      <c r="H34" s="4"/>
    </row>
    <row r="35" spans="1:15" s="1" customFormat="1">
      <c r="A35" s="2"/>
      <c r="B35" s="6"/>
      <c r="C35" s="6"/>
      <c r="D35" s="6"/>
      <c r="F35" s="3"/>
      <c r="G35" s="4"/>
      <c r="H35" s="4"/>
    </row>
    <row r="36" spans="1:15" s="1" customFormat="1">
      <c r="A36" s="2"/>
      <c r="B36" s="5"/>
      <c r="C36" s="5"/>
      <c r="D36" s="5"/>
      <c r="F36" s="3"/>
      <c r="G36" s="4"/>
      <c r="H36" s="4"/>
    </row>
    <row r="37" spans="1:15" s="1" customFormat="1">
      <c r="A37" s="2"/>
      <c r="B37" s="5"/>
      <c r="C37" s="5"/>
      <c r="D37" s="5"/>
      <c r="F37" s="3"/>
      <c r="G37" s="4"/>
      <c r="H37" s="4"/>
    </row>
    <row r="38" spans="1:15" s="1" customFormat="1">
      <c r="A38" s="2"/>
      <c r="B38" s="5"/>
      <c r="C38" s="5"/>
      <c r="D38" s="5"/>
      <c r="F38" s="3"/>
      <c r="G38" s="4"/>
      <c r="H38" s="4"/>
    </row>
    <row r="39" spans="1:15" s="1" customFormat="1">
      <c r="A39" s="2"/>
      <c r="B39" s="5"/>
      <c r="C39" s="5"/>
      <c r="D39" s="5"/>
      <c r="F39" s="3"/>
      <c r="G39" s="4"/>
      <c r="H39" s="4"/>
    </row>
    <row r="40" spans="1:15" s="1" customFormat="1">
      <c r="A40" s="2"/>
      <c r="B40" s="5"/>
      <c r="C40" s="5"/>
      <c r="D40" s="5"/>
      <c r="F40" s="3"/>
      <c r="G40" s="4"/>
      <c r="H40" s="4"/>
    </row>
    <row r="41" spans="1:15" s="1" customFormat="1">
      <c r="A41" s="2"/>
      <c r="B41" s="5"/>
      <c r="C41" s="5"/>
      <c r="D41" s="5"/>
      <c r="F41" s="3"/>
      <c r="G41" s="4"/>
      <c r="H41" s="4"/>
    </row>
    <row r="42" spans="1:15" s="1" customFormat="1">
      <c r="A42" s="2"/>
      <c r="B42" s="5"/>
      <c r="C42" s="5"/>
      <c r="D42" s="5"/>
      <c r="F42" s="3"/>
      <c r="G42" s="4"/>
      <c r="H42" s="4"/>
    </row>
    <row r="43" spans="1:15" s="1" customFormat="1">
      <c r="A43" s="2"/>
      <c r="F43" s="3"/>
      <c r="G43" s="4"/>
      <c r="H43" s="4"/>
    </row>
    <row r="44" spans="1:15" s="1" customFormat="1">
      <c r="A44" s="2"/>
      <c r="F44" s="3"/>
      <c r="G44" s="4"/>
      <c r="H44" s="4"/>
    </row>
    <row r="45" spans="1:15" s="1" customFormat="1">
      <c r="A45" s="2"/>
      <c r="F45" s="3"/>
      <c r="G45" s="4"/>
      <c r="H45" s="4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2011-08-24T12:20:08Z</dcterms:created>
  <dcterms:modified xsi:type="dcterms:W3CDTF">2011-08-24T12:22:45Z</dcterms:modified>
</cp:coreProperties>
</file>