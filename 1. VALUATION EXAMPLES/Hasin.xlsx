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6"/>
  <c r="I6"/>
  <c r="I9"/>
  <c r="I10"/>
  <c r="I11"/>
  <c r="F12"/>
  <c r="I12"/>
  <c r="I13" s="1"/>
  <c r="I14" s="1"/>
  <c r="F16"/>
  <c r="G16"/>
  <c r="I21"/>
  <c r="B28"/>
  <c r="I19" l="1"/>
  <c r="I17"/>
  <c r="I18" l="1"/>
  <c r="E30" s="1"/>
  <c r="I20"/>
  <c r="I22" s="1"/>
  <c r="I23" l="1"/>
  <c r="E26" s="1"/>
  <c r="E31" l="1"/>
  <c r="E34" s="1"/>
  <c r="E27"/>
  <c r="E28" s="1"/>
</calcChain>
</file>

<file path=xl/sharedStrings.xml><?xml version="1.0" encoding="utf-8"?>
<sst xmlns="http://schemas.openxmlformats.org/spreadsheetml/2006/main" count="50" uniqueCount="46">
  <si>
    <t>Surplus/(Deficit)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</si>
  <si>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</si>
  <si>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</si>
  <si>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</si>
  <si>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</si>
  <si>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</si>
  <si>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</si>
  <si>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</si>
  <si>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</si>
  <si>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</si>
  <si>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F.S.V</t>
  </si>
  <si>
    <t>Forced sale assessment</t>
  </si>
  <si>
    <t>O.M.V</t>
  </si>
  <si>
    <t>Open market assessment</t>
  </si>
  <si>
    <t>Additional Land Value</t>
  </si>
  <si>
    <t>Capitalised @</t>
  </si>
  <si>
    <t>Annual net income</t>
  </si>
  <si>
    <t>Monthly net income</t>
  </si>
  <si>
    <t>Expenses</t>
  </si>
  <si>
    <t>Sub total</t>
  </si>
  <si>
    <r>
      <t>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</si>
  <si>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</si>
  <si>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</si>
  <si>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</si>
  <si>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</si>
  <si>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</si>
  <si>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</si>
  <si>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</si>
  <si>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</si>
  <si>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</si>
  <si>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</si>
  <si>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</si>
  <si>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>storage</t>
  </si>
  <si>
    <t>Warehouse</t>
  </si>
  <si>
    <t>Gross monthly rent</t>
  </si>
  <si>
    <r>
      <t>Monthly operating expenses (R/m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/pm)</t>
    </r>
  </si>
  <si>
    <r>
      <t>Gross rent per month (R/m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</si>
  <si>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</si>
  <si>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</si>
  <si>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</si>
  <si>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</si>
  <si>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</si>
  <si>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</si>
  <si>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</si>
  <si>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Hasin</t>
  </si>
  <si>
    <t xml:space="preserve">Development name : </t>
  </si>
</sst>
</file>

<file path=xl/styles.xml><?xml version="1.0" encoding="utf-8"?>
<styleSheet xmlns="http://schemas.openxmlformats.org/spreadsheetml/2006/main">
  <numFmts count="6">
    <numFmt numFmtId="42" formatCode="_ &quot;R&quot;\ * #,##0_ ;_ &quot;R&quot;\ * \-#,##0_ ;_ &quot;R&quot;\ * &quot;-&quot;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_(&quot;R&quot;* #,##0_);_(&quot;R&quot;* \(#,##0\);_(&quot;R&quot;* &quot;-&quot;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0"/>
      <name val="Arial"/>
      <family val="2"/>
    </font>
    <font>
      <b/>
      <sz val="12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</fills>
  <borders count="74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1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2" fillId="0" borderId="0" xfId="2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7" fontId="0" fillId="0" borderId="1" xfId="0" applyNumberFormat="1" applyBorder="1" applyAlignment="1">
      <alignment horizontal="right" wrapText="1"/>
    </xf>
    <xf numFmtId="165" fontId="0" fillId="0" borderId="2" xfId="0" applyNumberFormat="1" applyBorder="1" applyAlignment="1">
      <alignment horizontal="right" wrapText="1"/>
    </xf>
    <xf numFmtId="165" fontId="0" fillId="0" borderId="3" xfId="0" applyNumberFormat="1" applyBorder="1" applyAlignment="1">
      <alignment horizontal="right" wrapText="1"/>
    </xf>
    <xf numFmtId="14" fontId="0" fillId="0" borderId="4" xfId="0" applyNumberFormat="1" applyBorder="1"/>
    <xf numFmtId="49" fontId="3" fillId="0" borderId="5" xfId="0" applyNumberFormat="1" applyFont="1" applyBorder="1" applyAlignment="1">
      <alignment horizontal="left" wrapText="1"/>
    </xf>
    <xf numFmtId="167" fontId="0" fillId="0" borderId="6" xfId="0" applyNumberFormat="1" applyBorder="1" applyAlignment="1">
      <alignment horizontal="right" wrapText="1"/>
    </xf>
    <xf numFmtId="165" fontId="0" fillId="0" borderId="7" xfId="0" applyNumberFormat="1" applyBorder="1" applyAlignment="1">
      <alignment horizontal="right" wrapText="1"/>
    </xf>
    <xf numFmtId="165" fontId="0" fillId="0" borderId="8" xfId="0" applyNumberFormat="1" applyBorder="1" applyAlignment="1">
      <alignment horizontal="right" wrapText="1"/>
    </xf>
    <xf numFmtId="10" fontId="2" fillId="0" borderId="9" xfId="2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0" fillId="0" borderId="11" xfId="0" applyNumberFormat="1" applyBorder="1" applyAlignment="1">
      <alignment horizontal="right" wrapText="1"/>
    </xf>
    <xf numFmtId="165" fontId="0" fillId="0" borderId="0" xfId="0" applyNumberFormat="1" applyBorder="1" applyAlignment="1">
      <alignment horizontal="left" wrapText="1"/>
    </xf>
    <xf numFmtId="165" fontId="0" fillId="0" borderId="12" xfId="0" applyNumberForma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0" fillId="2" borderId="11" xfId="0" applyNumberFormat="1" applyFill="1" applyBorder="1" applyAlignment="1">
      <alignment horizontal="right" wrapText="1"/>
    </xf>
    <xf numFmtId="165" fontId="0" fillId="0" borderId="0" xfId="0" applyNumberFormat="1" applyBorder="1" applyAlignment="1">
      <alignment horizontal="right" wrapText="1"/>
    </xf>
    <xf numFmtId="165" fontId="0" fillId="0" borderId="12" xfId="0" applyNumberFormat="1" applyBorder="1" applyAlignment="1">
      <alignment horizontal="right" wrapText="1"/>
    </xf>
    <xf numFmtId="14" fontId="0" fillId="0" borderId="13" xfId="0" applyNumberFormat="1" applyBorder="1"/>
    <xf numFmtId="49" fontId="3" fillId="0" borderId="14" xfId="0" applyNumberFormat="1" applyFont="1" applyBorder="1" applyAlignment="1">
      <alignment horizontal="left" wrapText="1"/>
    </xf>
    <xf numFmtId="165" fontId="0" fillId="2" borderId="11" xfId="0" applyNumberFormat="1" applyFill="1" applyBorder="1" applyAlignment="1">
      <alignment horizontal="right" wrapText="1"/>
    </xf>
    <xf numFmtId="49" fontId="0" fillId="0" borderId="11" xfId="0" applyNumberFormat="1" applyBorder="1" applyAlignment="1">
      <alignment horizontal="right" wrapText="1"/>
    </xf>
    <xf numFmtId="49" fontId="0" fillId="0" borderId="0" xfId="0" applyNumberFormat="1" applyBorder="1" applyAlignment="1">
      <alignment horizontal="right" wrapText="1"/>
    </xf>
    <xf numFmtId="49" fontId="0" fillId="0" borderId="12" xfId="0" applyNumberFormat="1" applyBorder="1" applyAlignment="1">
      <alignment horizontal="right" wrapText="1"/>
    </xf>
    <xf numFmtId="165" fontId="0" fillId="0" borderId="15" xfId="0" applyNumberFormat="1" applyBorder="1" applyAlignment="1">
      <alignment horizontal="right" wrapText="1"/>
    </xf>
    <xf numFmtId="49" fontId="0" fillId="0" borderId="16" xfId="0" applyNumberFormat="1" applyBorder="1" applyAlignment="1">
      <alignment horizontal="right" wrapText="1"/>
    </xf>
    <xf numFmtId="49" fontId="0" fillId="0" borderId="17" xfId="0" applyNumberFormat="1" applyBorder="1" applyAlignment="1">
      <alignment horizontal="right" wrapText="1"/>
    </xf>
    <xf numFmtId="10" fontId="0" fillId="0" borderId="18" xfId="0" applyNumberFormat="1" applyBorder="1"/>
    <xf numFmtId="49" fontId="3" fillId="0" borderId="19" xfId="0" applyNumberFormat="1" applyFont="1" applyBorder="1" applyAlignment="1">
      <alignment horizontal="left" wrapText="1"/>
    </xf>
    <xf numFmtId="165" fontId="0" fillId="2" borderId="6" xfId="0" applyNumberFormat="1" applyFill="1" applyBorder="1" applyAlignment="1">
      <alignment horizontal="right" wrapText="1"/>
    </xf>
    <xf numFmtId="49" fontId="0" fillId="0" borderId="0" xfId="0" applyNumberFormat="1" applyBorder="1" applyAlignment="1">
      <alignment horizontal="left" wrapText="1"/>
    </xf>
    <xf numFmtId="49" fontId="0" fillId="0" borderId="12" xfId="0" applyNumberFormat="1" applyBorder="1" applyAlignment="1">
      <alignment horizontal="left" wrapText="1"/>
    </xf>
    <xf numFmtId="10" fontId="2" fillId="0" borderId="13" xfId="2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0" fillId="0" borderId="21" xfId="0" applyNumberFormat="1" applyBorder="1" applyAlignment="1">
      <alignment horizontal="left" wrapText="1"/>
    </xf>
    <xf numFmtId="49" fontId="0" fillId="0" borderId="22" xfId="0" applyNumberFormat="1" applyBorder="1" applyAlignment="1">
      <alignment horizontal="left" wrapText="1"/>
    </xf>
    <xf numFmtId="10" fontId="2" fillId="0" borderId="23" xfId="2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4" fillId="0" borderId="25" xfId="0" applyNumberFormat="1" applyFont="1" applyBorder="1"/>
    <xf numFmtId="10" fontId="4" fillId="3" borderId="26" xfId="2" applyNumberFormat="1" applyFont="1" applyFill="1" applyBorder="1"/>
    <xf numFmtId="9" fontId="4" fillId="0" borderId="2" xfId="2" applyFont="1" applyBorder="1"/>
    <xf numFmtId="49" fontId="4" fillId="0" borderId="2" xfId="0" applyNumberFormat="1" applyFont="1" applyBorder="1" applyAlignment="1">
      <alignment horizontal="left" wrapText="1"/>
    </xf>
    <xf numFmtId="49" fontId="5" fillId="0" borderId="2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horizontal="left" wrapText="1"/>
    </xf>
    <xf numFmtId="49" fontId="4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0" fontId="4" fillId="3" borderId="29" xfId="2" applyNumberFormat="1" applyFont="1" applyFill="1" applyBorder="1"/>
    <xf numFmtId="164" fontId="4" fillId="0" borderId="30" xfId="0" applyNumberFormat="1" applyFont="1" applyBorder="1"/>
    <xf numFmtId="49" fontId="4" fillId="0" borderId="30" xfId="0" applyNumberFormat="1" applyFont="1" applyBorder="1" applyAlignment="1">
      <alignment horizontal="left" wrapText="1"/>
    </xf>
    <xf numFmtId="49" fontId="5" fillId="0" borderId="30" xfId="0" applyNumberFormat="1" applyFont="1" applyBorder="1" applyAlignment="1">
      <alignment horizontal="left" wrapText="1"/>
    </xf>
    <xf numFmtId="49" fontId="4" fillId="0" borderId="31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166" fontId="0" fillId="0" borderId="28" xfId="0" applyNumberFormat="1" applyBorder="1"/>
    <xf numFmtId="168" fontId="3" fillId="3" borderId="29" xfId="1" applyNumberFormat="1" applyFont="1" applyFill="1" applyBorder="1"/>
    <xf numFmtId="9" fontId="2" fillId="0" borderId="30" xfId="2" applyFont="1" applyBorder="1"/>
    <xf numFmtId="49" fontId="0" fillId="0" borderId="30" xfId="0" applyNumberForma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3" fontId="3" fillId="0" borderId="31" xfId="0" applyNumberFormat="1" applyFont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10" fontId="3" fillId="3" borderId="29" xfId="2" applyNumberFormat="1" applyFont="1" applyFill="1" applyBorder="1"/>
    <xf numFmtId="49" fontId="3" fillId="0" borderId="31" xfId="0" applyNumberFormat="1" applyFont="1" applyBorder="1" applyAlignment="1">
      <alignment horizontal="left" wrapText="1"/>
    </xf>
    <xf numFmtId="164" fontId="0" fillId="0" borderId="30" xfId="0" applyNumberFormat="1" applyBorder="1"/>
    <xf numFmtId="166" fontId="0" fillId="0" borderId="32" xfId="0" applyNumberFormat="1" applyBorder="1"/>
    <xf numFmtId="10" fontId="3" fillId="3" borderId="33" xfId="2" applyNumberFormat="1" applyFont="1" applyFill="1" applyBorder="1"/>
    <xf numFmtId="9" fontId="2" fillId="0" borderId="34" xfId="2" applyFont="1" applyBorder="1"/>
    <xf numFmtId="49" fontId="0" fillId="0" borderId="34" xfId="0" applyNumberFormat="1" applyBorder="1" applyAlignment="1">
      <alignment wrapText="1"/>
    </xf>
    <xf numFmtId="49" fontId="0" fillId="0" borderId="34" xfId="0" applyNumberForma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33" xfId="0" applyNumberFormat="1" applyFont="1" applyBorder="1" applyAlignment="1">
      <alignment horizontal="left" wrapText="1"/>
    </xf>
    <xf numFmtId="166" fontId="0" fillId="0" borderId="36" xfId="0" applyNumberFormat="1" applyBorder="1"/>
    <xf numFmtId="10" fontId="3" fillId="3" borderId="37" xfId="2" applyNumberFormat="1" applyFont="1" applyFill="1" applyBorder="1"/>
    <xf numFmtId="9" fontId="2" fillId="0" borderId="38" xfId="2" applyFont="1" applyBorder="1"/>
    <xf numFmtId="49" fontId="0" fillId="0" borderId="38" xfId="0" applyNumberFormat="1" applyBorder="1" applyAlignment="1">
      <alignment wrapText="1"/>
    </xf>
    <xf numFmtId="49" fontId="0" fillId="0" borderId="38" xfId="0" applyNumberForma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166" fontId="0" fillId="0" borderId="40" xfId="0" applyNumberFormat="1" applyBorder="1"/>
    <xf numFmtId="9" fontId="2" fillId="0" borderId="41" xfId="2" applyNumberFormat="1" applyFont="1" applyBorder="1"/>
    <xf numFmtId="4" fontId="0" fillId="0" borderId="42" xfId="0" applyNumberFormat="1" applyBorder="1" applyAlignment="1">
      <alignment horizontal="right" wrapText="1"/>
    </xf>
    <xf numFmtId="165" fontId="0" fillId="2" borderId="42" xfId="0" applyNumberFormat="1" applyFill="1" applyBorder="1" applyAlignment="1">
      <alignment horizontal="right" wrapText="1"/>
    </xf>
    <xf numFmtId="49" fontId="0" fillId="0" borderId="43" xfId="0" applyNumberFormat="1" applyBorder="1" applyAlignment="1">
      <alignment horizontal="left" wrapText="1"/>
    </xf>
    <xf numFmtId="49" fontId="0" fillId="0" borderId="44" xfId="0" applyNumberFormat="1" applyBorder="1" applyAlignment="1">
      <alignment horizontal="left" wrapText="1"/>
    </xf>
    <xf numFmtId="49" fontId="0" fillId="0" borderId="42" xfId="0" applyNumberFormat="1" applyBorder="1" applyAlignment="1">
      <alignment horizontal="left" wrapText="1"/>
    </xf>
    <xf numFmtId="166" fontId="0" fillId="0" borderId="45" xfId="0" applyNumberFormat="1" applyBorder="1"/>
    <xf numFmtId="164" fontId="0" fillId="0" borderId="46" xfId="0" applyNumberFormat="1" applyBorder="1"/>
    <xf numFmtId="10" fontId="3" fillId="0" borderId="47" xfId="2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6" xfId="0" applyNumberFormat="1" applyFont="1" applyBorder="1" applyAlignment="1">
      <alignment horizontal="left" wrapText="1"/>
    </xf>
    <xf numFmtId="49" fontId="3" fillId="0" borderId="47" xfId="0" applyNumberFormat="1" applyFont="1" applyBorder="1" applyAlignment="1">
      <alignment horizontal="left" wrapText="1"/>
    </xf>
    <xf numFmtId="166" fontId="3" fillId="0" borderId="49" xfId="0" applyNumberFormat="1" applyFont="1" applyBorder="1"/>
    <xf numFmtId="14" fontId="3" fillId="0" borderId="50" xfId="0" applyNumberFormat="1" applyFont="1" applyBorder="1"/>
    <xf numFmtId="164" fontId="3" fillId="0" borderId="50" xfId="0" applyNumberFormat="1" applyFont="1" applyBorder="1"/>
    <xf numFmtId="49" fontId="3" fillId="0" borderId="51" xfId="0" applyNumberFormat="1" applyFont="1" applyBorder="1" applyAlignment="1">
      <alignment horizontal="centerContinuous" wrapText="1"/>
    </xf>
    <xf numFmtId="49" fontId="3" fillId="0" borderId="51" xfId="0" applyNumberFormat="1" applyFont="1" applyBorder="1" applyAlignment="1">
      <alignment horizontal="left" wrapText="1"/>
    </xf>
    <xf numFmtId="14" fontId="3" fillId="0" borderId="51" xfId="0" applyNumberFormat="1" applyFont="1" applyBorder="1"/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0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0" fillId="0" borderId="49" xfId="0" applyNumberFormat="1" applyBorder="1"/>
    <xf numFmtId="164" fontId="0" fillId="0" borderId="50" xfId="0" applyNumberFormat="1" applyBorder="1"/>
    <xf numFmtId="164" fontId="0" fillId="0" borderId="54" xfId="0" applyNumberFormat="1" applyBorder="1"/>
    <xf numFmtId="1" fontId="0" fillId="0" borderId="50" xfId="0" applyNumberFormat="1" applyBorder="1"/>
    <xf numFmtId="49" fontId="0" fillId="0" borderId="54" xfId="0" applyNumberFormat="1" applyBorder="1" applyAlignment="1">
      <alignment horizontal="left" wrapText="1"/>
    </xf>
    <xf numFmtId="49" fontId="0" fillId="0" borderId="50" xfId="0" applyNumberFormat="1" applyBorder="1" applyAlignment="1">
      <alignment horizontal="left" wrapText="1"/>
    </xf>
    <xf numFmtId="49" fontId="0" fillId="0" borderId="41" xfId="0" applyNumberFormat="1" applyBorder="1" applyAlignment="1">
      <alignment horizontal="left" wrapText="1"/>
    </xf>
    <xf numFmtId="49" fontId="0" fillId="0" borderId="55" xfId="0" applyNumberFormat="1" applyBorder="1" applyAlignment="1">
      <alignment horizontal="left" wrapText="1"/>
    </xf>
    <xf numFmtId="166" fontId="0" fillId="0" borderId="56" xfId="0" applyNumberFormat="1" applyBorder="1"/>
    <xf numFmtId="164" fontId="0" fillId="0" borderId="7" xfId="0" applyNumberFormat="1" applyBorder="1"/>
    <xf numFmtId="164" fontId="0" fillId="0" borderId="57" xfId="0" applyNumberFormat="1" applyBorder="1"/>
    <xf numFmtId="1" fontId="0" fillId="0" borderId="7" xfId="0" applyNumberFormat="1" applyBorder="1"/>
    <xf numFmtId="49" fontId="0" fillId="0" borderId="57" xfId="0" applyNumberFormat="1" applyBorder="1" applyAlignment="1">
      <alignment horizontal="left" wrapText="1"/>
    </xf>
    <xf numFmtId="49" fontId="0" fillId="0" borderId="7" xfId="0" applyNumberFormat="1" applyBorder="1" applyAlignment="1">
      <alignment horizontal="right" wrapText="1"/>
    </xf>
    <xf numFmtId="49" fontId="0" fillId="0" borderId="9" xfId="0" applyNumberFormat="1" applyBorder="1" applyAlignment="1">
      <alignment horizontal="right" wrapText="1"/>
    </xf>
    <xf numFmtId="49" fontId="0" fillId="0" borderId="58" xfId="0" applyNumberFormat="1" applyBorder="1" applyAlignment="1">
      <alignment horizontal="right" wrapText="1"/>
    </xf>
    <xf numFmtId="166" fontId="0" fillId="0" borderId="59" xfId="0" applyNumberFormat="1" applyBorder="1"/>
    <xf numFmtId="164" fontId="0" fillId="0" borderId="0" xfId="0" applyNumberFormat="1" applyBorder="1"/>
    <xf numFmtId="164" fontId="0" fillId="0" borderId="60" xfId="0" applyNumberFormat="1" applyBorder="1"/>
    <xf numFmtId="1" fontId="0" fillId="0" borderId="0" xfId="0" applyNumberFormat="1" applyBorder="1"/>
    <xf numFmtId="49" fontId="0" fillId="0" borderId="60" xfId="0" applyNumberFormat="1" applyBorder="1" applyAlignment="1">
      <alignment horizontal="left" wrapText="1"/>
    </xf>
    <xf numFmtId="49" fontId="0" fillId="0" borderId="13" xfId="0" applyNumberFormat="1" applyBorder="1" applyAlignment="1">
      <alignment horizontal="right" wrapText="1"/>
    </xf>
    <xf numFmtId="49" fontId="0" fillId="0" borderId="61" xfId="0" applyNumberFormat="1" applyBorder="1" applyAlignment="1">
      <alignment horizontal="right" wrapText="1"/>
    </xf>
    <xf numFmtId="164" fontId="3" fillId="0" borderId="57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0" fillId="0" borderId="57" xfId="0" applyNumberForma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9" xfId="0" applyNumberFormat="1" applyFont="1" applyBorder="1" applyAlignment="1">
      <alignment horizontal="center" wrapText="1"/>
    </xf>
    <xf numFmtId="49" fontId="3" fillId="0" borderId="58" xfId="0" applyNumberFormat="1" applyFont="1" applyBorder="1" applyAlignment="1">
      <alignment horizontal="center" wrapText="1"/>
    </xf>
    <xf numFmtId="164" fontId="0" fillId="2" borderId="62" xfId="0" applyNumberFormat="1" applyFill="1" applyBorder="1"/>
    <xf numFmtId="1" fontId="0" fillId="2" borderId="16" xfId="0" applyNumberFormat="1" applyFill="1" applyBorder="1"/>
    <xf numFmtId="49" fontId="0" fillId="2" borderId="62" xfId="0" applyNumberFormat="1" applyFill="1" applyBorder="1" applyAlignment="1">
      <alignment horizontal="left" wrapText="1"/>
    </xf>
    <xf numFmtId="49" fontId="0" fillId="2" borderId="16" xfId="0" applyNumberFormat="1" applyFill="1" applyBorder="1" applyAlignment="1">
      <alignment horizontal="left" wrapText="1"/>
    </xf>
    <xf numFmtId="49" fontId="0" fillId="2" borderId="18" xfId="0" applyNumberFormat="1" applyFill="1" applyBorder="1" applyAlignment="1">
      <alignment horizontal="left" wrapText="1"/>
    </xf>
    <xf numFmtId="49" fontId="0" fillId="2" borderId="63" xfId="0" applyNumberFormat="1" applyFill="1" applyBorder="1" applyAlignment="1">
      <alignment horizontal="left" wrapText="1"/>
    </xf>
    <xf numFmtId="165" fontId="0" fillId="0" borderId="64" xfId="0" applyNumberFormat="1" applyBorder="1"/>
    <xf numFmtId="4" fontId="0" fillId="0" borderId="65" xfId="0" applyNumberFormat="1" applyBorder="1"/>
    <xf numFmtId="4" fontId="0" fillId="0" borderId="62" xfId="0" applyNumberFormat="1" applyBorder="1"/>
    <xf numFmtId="3" fontId="0" fillId="0" borderId="16" xfId="0" applyNumberFormat="1" applyBorder="1"/>
    <xf numFmtId="49" fontId="0" fillId="0" borderId="62" xfId="0" applyNumberFormat="1" applyBorder="1" applyAlignment="1">
      <alignment horizontal="left" wrapText="1"/>
    </xf>
    <xf numFmtId="49" fontId="0" fillId="0" borderId="66" xfId="0" applyNumberFormat="1" applyBorder="1" applyAlignment="1">
      <alignment horizontal="left" wrapText="1"/>
    </xf>
    <xf numFmtId="49" fontId="0" fillId="0" borderId="63" xfId="0" applyNumberFormat="1" applyBorder="1" applyAlignment="1">
      <alignment horizontal="left" wrapText="1"/>
    </xf>
    <xf numFmtId="4" fontId="0" fillId="0" borderId="0" xfId="0" applyNumberFormat="1" applyBorder="1"/>
    <xf numFmtId="4" fontId="0" fillId="0" borderId="60" xfId="0" applyNumberFormat="1" applyBorder="1"/>
    <xf numFmtId="3" fontId="0" fillId="0" borderId="0" xfId="0" applyNumberFormat="1" applyBorder="1"/>
    <xf numFmtId="49" fontId="0" fillId="0" borderId="60" xfId="0" applyNumberFormat="1" applyBorder="1" applyAlignment="1">
      <alignment horizontal="center" wrapText="1"/>
    </xf>
    <xf numFmtId="49" fontId="0" fillId="0" borderId="67" xfId="0" applyNumberFormat="1" applyBorder="1" applyAlignment="1">
      <alignment horizontal="left" wrapText="1"/>
    </xf>
    <xf numFmtId="49" fontId="0" fillId="0" borderId="61" xfId="0" applyNumberFormat="1" applyBorder="1" applyAlignment="1">
      <alignment horizontal="left" wrapText="1"/>
    </xf>
    <xf numFmtId="49" fontId="3" fillId="0" borderId="49" xfId="0" applyNumberFormat="1" applyFont="1" applyBorder="1" applyAlignment="1">
      <alignment horizontal="center" wrapText="1"/>
    </xf>
    <xf numFmtId="49" fontId="3" fillId="0" borderId="50" xfId="0" applyNumberFormat="1" applyFont="1" applyBorder="1" applyAlignment="1">
      <alignment wrapText="1"/>
    </xf>
    <xf numFmtId="49" fontId="3" fillId="0" borderId="68" xfId="0" applyNumberFormat="1" applyFont="1" applyBorder="1" applyAlignment="1">
      <alignment horizontal="center" wrapText="1"/>
    </xf>
    <xf numFmtId="14" fontId="3" fillId="0" borderId="50" xfId="0" applyNumberFormat="1" applyFont="1" applyBorder="1" applyAlignment="1">
      <alignment horizontal="center" wrapText="1"/>
    </xf>
    <xf numFmtId="14" fontId="3" fillId="0" borderId="68" xfId="0" applyNumberFormat="1" applyFont="1" applyBorder="1" applyAlignment="1">
      <alignment horizontal="center" wrapText="1"/>
    </xf>
    <xf numFmtId="14" fontId="3" fillId="0" borderId="69" xfId="0" applyNumberFormat="1" applyFont="1" applyBorder="1" applyAlignment="1">
      <alignment horizontal="center" wrapText="1"/>
    </xf>
    <xf numFmtId="14" fontId="3" fillId="0" borderId="53" xfId="0" applyNumberFormat="1" applyFont="1" applyBorder="1" applyAlignment="1">
      <alignment horizontal="center"/>
    </xf>
    <xf numFmtId="14" fontId="0" fillId="0" borderId="70" xfId="0" applyNumberFormat="1" applyBorder="1"/>
    <xf numFmtId="14" fontId="0" fillId="0" borderId="50" xfId="0" applyNumberFormat="1" applyBorder="1"/>
    <xf numFmtId="15" fontId="0" fillId="0" borderId="50" xfId="0" applyNumberFormat="1" applyBorder="1"/>
    <xf numFmtId="14" fontId="0" fillId="0" borderId="71" xfId="0" applyNumberFormat="1" applyBorder="1"/>
    <xf numFmtId="14" fontId="0" fillId="0" borderId="72" xfId="0" applyNumberFormat="1" applyBorder="1"/>
    <xf numFmtId="14" fontId="0" fillId="0" borderId="21" xfId="0" applyNumberFormat="1" applyBorder="1"/>
    <xf numFmtId="14" fontId="7" fillId="0" borderId="21" xfId="0" applyNumberFormat="1" applyFont="1" applyBorder="1"/>
    <xf numFmtId="14" fontId="7" fillId="0" borderId="73" xfId="0" applyNumberFormat="1" applyFont="1" applyBorder="1"/>
  </cellXfs>
  <cellStyles count="3">
    <cellStyle name="Currency [0]" xfId="1" builtinId="7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87"/>
  <sheetViews>
    <sheetView tabSelected="1" workbookViewId="0">
      <selection activeCell="A16" sqref="A16"/>
    </sheetView>
  </sheetViews>
  <sheetFormatPr defaultRowHeight="15"/>
  <cols>
    <col min="1" max="1" width="27.140625" style="1" customWidth="1"/>
    <col min="2" max="2" width="13.140625" style="1" bestFit="1" customWidth="1"/>
    <col min="3" max="4" width="11" style="1" customWidth="1"/>
    <col min="5" max="5" width="12.42578125" style="1" customWidth="1"/>
    <col min="6" max="6" width="10.7109375" style="1" customWidth="1"/>
    <col min="7" max="7" width="11" style="1" customWidth="1"/>
    <col min="8" max="8" width="11.7109375" style="1" customWidth="1"/>
    <col min="9" max="9" width="15.28515625" style="1" customWidth="1"/>
    <col min="10" max="256" width="9.140625" style="1"/>
    <col min="257" max="257" width="27.140625" style="1" customWidth="1"/>
    <col min="258" max="258" width="13.140625" style="1" bestFit="1" customWidth="1"/>
    <col min="259" max="260" width="11" style="1" customWidth="1"/>
    <col min="261" max="261" width="12.42578125" style="1" customWidth="1"/>
    <col min="262" max="262" width="10.7109375" style="1" customWidth="1"/>
    <col min="263" max="263" width="11" style="1" customWidth="1"/>
    <col min="264" max="264" width="11.7109375" style="1" customWidth="1"/>
    <col min="265" max="265" width="15.28515625" style="1" customWidth="1"/>
    <col min="266" max="512" width="9.140625" style="1"/>
    <col min="513" max="513" width="27.140625" style="1" customWidth="1"/>
    <col min="514" max="514" width="13.140625" style="1" bestFit="1" customWidth="1"/>
    <col min="515" max="516" width="11" style="1" customWidth="1"/>
    <col min="517" max="517" width="12.42578125" style="1" customWidth="1"/>
    <col min="518" max="518" width="10.7109375" style="1" customWidth="1"/>
    <col min="519" max="519" width="11" style="1" customWidth="1"/>
    <col min="520" max="520" width="11.7109375" style="1" customWidth="1"/>
    <col min="521" max="521" width="15.28515625" style="1" customWidth="1"/>
    <col min="522" max="768" width="9.140625" style="1"/>
    <col min="769" max="769" width="27.140625" style="1" customWidth="1"/>
    <col min="770" max="770" width="13.140625" style="1" bestFit="1" customWidth="1"/>
    <col min="771" max="772" width="11" style="1" customWidth="1"/>
    <col min="773" max="773" width="12.42578125" style="1" customWidth="1"/>
    <col min="774" max="774" width="10.7109375" style="1" customWidth="1"/>
    <col min="775" max="775" width="11" style="1" customWidth="1"/>
    <col min="776" max="776" width="11.7109375" style="1" customWidth="1"/>
    <col min="777" max="777" width="15.28515625" style="1" customWidth="1"/>
    <col min="778" max="1024" width="9.140625" style="1"/>
    <col min="1025" max="1025" width="27.140625" style="1" customWidth="1"/>
    <col min="1026" max="1026" width="13.140625" style="1" bestFit="1" customWidth="1"/>
    <col min="1027" max="1028" width="11" style="1" customWidth="1"/>
    <col min="1029" max="1029" width="12.42578125" style="1" customWidth="1"/>
    <col min="1030" max="1030" width="10.7109375" style="1" customWidth="1"/>
    <col min="1031" max="1031" width="11" style="1" customWidth="1"/>
    <col min="1032" max="1032" width="11.7109375" style="1" customWidth="1"/>
    <col min="1033" max="1033" width="15.28515625" style="1" customWidth="1"/>
    <col min="1034" max="1280" width="9.140625" style="1"/>
    <col min="1281" max="1281" width="27.140625" style="1" customWidth="1"/>
    <col min="1282" max="1282" width="13.140625" style="1" bestFit="1" customWidth="1"/>
    <col min="1283" max="1284" width="11" style="1" customWidth="1"/>
    <col min="1285" max="1285" width="12.42578125" style="1" customWidth="1"/>
    <col min="1286" max="1286" width="10.7109375" style="1" customWidth="1"/>
    <col min="1287" max="1287" width="11" style="1" customWidth="1"/>
    <col min="1288" max="1288" width="11.7109375" style="1" customWidth="1"/>
    <col min="1289" max="1289" width="15.28515625" style="1" customWidth="1"/>
    <col min="1290" max="1536" width="9.140625" style="1"/>
    <col min="1537" max="1537" width="27.140625" style="1" customWidth="1"/>
    <col min="1538" max="1538" width="13.140625" style="1" bestFit="1" customWidth="1"/>
    <col min="1539" max="1540" width="11" style="1" customWidth="1"/>
    <col min="1541" max="1541" width="12.42578125" style="1" customWidth="1"/>
    <col min="1542" max="1542" width="10.7109375" style="1" customWidth="1"/>
    <col min="1543" max="1543" width="11" style="1" customWidth="1"/>
    <col min="1544" max="1544" width="11.7109375" style="1" customWidth="1"/>
    <col min="1545" max="1545" width="15.28515625" style="1" customWidth="1"/>
    <col min="1546" max="1792" width="9.140625" style="1"/>
    <col min="1793" max="1793" width="27.140625" style="1" customWidth="1"/>
    <col min="1794" max="1794" width="13.140625" style="1" bestFit="1" customWidth="1"/>
    <col min="1795" max="1796" width="11" style="1" customWidth="1"/>
    <col min="1797" max="1797" width="12.42578125" style="1" customWidth="1"/>
    <col min="1798" max="1798" width="10.7109375" style="1" customWidth="1"/>
    <col min="1799" max="1799" width="11" style="1" customWidth="1"/>
    <col min="1800" max="1800" width="11.7109375" style="1" customWidth="1"/>
    <col min="1801" max="1801" width="15.28515625" style="1" customWidth="1"/>
    <col min="1802" max="2048" width="9.140625" style="1"/>
    <col min="2049" max="2049" width="27.140625" style="1" customWidth="1"/>
    <col min="2050" max="2050" width="13.140625" style="1" bestFit="1" customWidth="1"/>
    <col min="2051" max="2052" width="11" style="1" customWidth="1"/>
    <col min="2053" max="2053" width="12.42578125" style="1" customWidth="1"/>
    <col min="2054" max="2054" width="10.7109375" style="1" customWidth="1"/>
    <col min="2055" max="2055" width="11" style="1" customWidth="1"/>
    <col min="2056" max="2056" width="11.7109375" style="1" customWidth="1"/>
    <col min="2057" max="2057" width="15.28515625" style="1" customWidth="1"/>
    <col min="2058" max="2304" width="9.140625" style="1"/>
    <col min="2305" max="2305" width="27.140625" style="1" customWidth="1"/>
    <col min="2306" max="2306" width="13.140625" style="1" bestFit="1" customWidth="1"/>
    <col min="2307" max="2308" width="11" style="1" customWidth="1"/>
    <col min="2309" max="2309" width="12.42578125" style="1" customWidth="1"/>
    <col min="2310" max="2310" width="10.7109375" style="1" customWidth="1"/>
    <col min="2311" max="2311" width="11" style="1" customWidth="1"/>
    <col min="2312" max="2312" width="11.7109375" style="1" customWidth="1"/>
    <col min="2313" max="2313" width="15.28515625" style="1" customWidth="1"/>
    <col min="2314" max="2560" width="9.140625" style="1"/>
    <col min="2561" max="2561" width="27.140625" style="1" customWidth="1"/>
    <col min="2562" max="2562" width="13.140625" style="1" bestFit="1" customWidth="1"/>
    <col min="2563" max="2564" width="11" style="1" customWidth="1"/>
    <col min="2565" max="2565" width="12.42578125" style="1" customWidth="1"/>
    <col min="2566" max="2566" width="10.7109375" style="1" customWidth="1"/>
    <col min="2567" max="2567" width="11" style="1" customWidth="1"/>
    <col min="2568" max="2568" width="11.7109375" style="1" customWidth="1"/>
    <col min="2569" max="2569" width="15.28515625" style="1" customWidth="1"/>
    <col min="2570" max="2816" width="9.140625" style="1"/>
    <col min="2817" max="2817" width="27.140625" style="1" customWidth="1"/>
    <col min="2818" max="2818" width="13.140625" style="1" bestFit="1" customWidth="1"/>
    <col min="2819" max="2820" width="11" style="1" customWidth="1"/>
    <col min="2821" max="2821" width="12.42578125" style="1" customWidth="1"/>
    <col min="2822" max="2822" width="10.7109375" style="1" customWidth="1"/>
    <col min="2823" max="2823" width="11" style="1" customWidth="1"/>
    <col min="2824" max="2824" width="11.7109375" style="1" customWidth="1"/>
    <col min="2825" max="2825" width="15.28515625" style="1" customWidth="1"/>
    <col min="2826" max="3072" width="9.140625" style="1"/>
    <col min="3073" max="3073" width="27.140625" style="1" customWidth="1"/>
    <col min="3074" max="3074" width="13.140625" style="1" bestFit="1" customWidth="1"/>
    <col min="3075" max="3076" width="11" style="1" customWidth="1"/>
    <col min="3077" max="3077" width="12.42578125" style="1" customWidth="1"/>
    <col min="3078" max="3078" width="10.7109375" style="1" customWidth="1"/>
    <col min="3079" max="3079" width="11" style="1" customWidth="1"/>
    <col min="3080" max="3080" width="11.7109375" style="1" customWidth="1"/>
    <col min="3081" max="3081" width="15.28515625" style="1" customWidth="1"/>
    <col min="3082" max="3328" width="9.140625" style="1"/>
    <col min="3329" max="3329" width="27.140625" style="1" customWidth="1"/>
    <col min="3330" max="3330" width="13.140625" style="1" bestFit="1" customWidth="1"/>
    <col min="3331" max="3332" width="11" style="1" customWidth="1"/>
    <col min="3333" max="3333" width="12.42578125" style="1" customWidth="1"/>
    <col min="3334" max="3334" width="10.7109375" style="1" customWidth="1"/>
    <col min="3335" max="3335" width="11" style="1" customWidth="1"/>
    <col min="3336" max="3336" width="11.7109375" style="1" customWidth="1"/>
    <col min="3337" max="3337" width="15.28515625" style="1" customWidth="1"/>
    <col min="3338" max="3584" width="9.140625" style="1"/>
    <col min="3585" max="3585" width="27.140625" style="1" customWidth="1"/>
    <col min="3586" max="3586" width="13.140625" style="1" bestFit="1" customWidth="1"/>
    <col min="3587" max="3588" width="11" style="1" customWidth="1"/>
    <col min="3589" max="3589" width="12.42578125" style="1" customWidth="1"/>
    <col min="3590" max="3590" width="10.7109375" style="1" customWidth="1"/>
    <col min="3591" max="3591" width="11" style="1" customWidth="1"/>
    <col min="3592" max="3592" width="11.7109375" style="1" customWidth="1"/>
    <col min="3593" max="3593" width="15.28515625" style="1" customWidth="1"/>
    <col min="3594" max="3840" width="9.140625" style="1"/>
    <col min="3841" max="3841" width="27.140625" style="1" customWidth="1"/>
    <col min="3842" max="3842" width="13.140625" style="1" bestFit="1" customWidth="1"/>
    <col min="3843" max="3844" width="11" style="1" customWidth="1"/>
    <col min="3845" max="3845" width="12.42578125" style="1" customWidth="1"/>
    <col min="3846" max="3846" width="10.7109375" style="1" customWidth="1"/>
    <col min="3847" max="3847" width="11" style="1" customWidth="1"/>
    <col min="3848" max="3848" width="11.7109375" style="1" customWidth="1"/>
    <col min="3849" max="3849" width="15.28515625" style="1" customWidth="1"/>
    <col min="3850" max="4096" width="9.140625" style="1"/>
    <col min="4097" max="4097" width="27.140625" style="1" customWidth="1"/>
    <col min="4098" max="4098" width="13.140625" style="1" bestFit="1" customWidth="1"/>
    <col min="4099" max="4100" width="11" style="1" customWidth="1"/>
    <col min="4101" max="4101" width="12.42578125" style="1" customWidth="1"/>
    <col min="4102" max="4102" width="10.7109375" style="1" customWidth="1"/>
    <col min="4103" max="4103" width="11" style="1" customWidth="1"/>
    <col min="4104" max="4104" width="11.7109375" style="1" customWidth="1"/>
    <col min="4105" max="4105" width="15.28515625" style="1" customWidth="1"/>
    <col min="4106" max="4352" width="9.140625" style="1"/>
    <col min="4353" max="4353" width="27.140625" style="1" customWidth="1"/>
    <col min="4354" max="4354" width="13.140625" style="1" bestFit="1" customWidth="1"/>
    <col min="4355" max="4356" width="11" style="1" customWidth="1"/>
    <col min="4357" max="4357" width="12.42578125" style="1" customWidth="1"/>
    <col min="4358" max="4358" width="10.7109375" style="1" customWidth="1"/>
    <col min="4359" max="4359" width="11" style="1" customWidth="1"/>
    <col min="4360" max="4360" width="11.7109375" style="1" customWidth="1"/>
    <col min="4361" max="4361" width="15.28515625" style="1" customWidth="1"/>
    <col min="4362" max="4608" width="9.140625" style="1"/>
    <col min="4609" max="4609" width="27.140625" style="1" customWidth="1"/>
    <col min="4610" max="4610" width="13.140625" style="1" bestFit="1" customWidth="1"/>
    <col min="4611" max="4612" width="11" style="1" customWidth="1"/>
    <col min="4613" max="4613" width="12.42578125" style="1" customWidth="1"/>
    <col min="4614" max="4614" width="10.7109375" style="1" customWidth="1"/>
    <col min="4615" max="4615" width="11" style="1" customWidth="1"/>
    <col min="4616" max="4616" width="11.7109375" style="1" customWidth="1"/>
    <col min="4617" max="4617" width="15.28515625" style="1" customWidth="1"/>
    <col min="4618" max="4864" width="9.140625" style="1"/>
    <col min="4865" max="4865" width="27.140625" style="1" customWidth="1"/>
    <col min="4866" max="4866" width="13.140625" style="1" bestFit="1" customWidth="1"/>
    <col min="4867" max="4868" width="11" style="1" customWidth="1"/>
    <col min="4869" max="4869" width="12.42578125" style="1" customWidth="1"/>
    <col min="4870" max="4870" width="10.7109375" style="1" customWidth="1"/>
    <col min="4871" max="4871" width="11" style="1" customWidth="1"/>
    <col min="4872" max="4872" width="11.7109375" style="1" customWidth="1"/>
    <col min="4873" max="4873" width="15.28515625" style="1" customWidth="1"/>
    <col min="4874" max="5120" width="9.140625" style="1"/>
    <col min="5121" max="5121" width="27.140625" style="1" customWidth="1"/>
    <col min="5122" max="5122" width="13.140625" style="1" bestFit="1" customWidth="1"/>
    <col min="5123" max="5124" width="11" style="1" customWidth="1"/>
    <col min="5125" max="5125" width="12.42578125" style="1" customWidth="1"/>
    <col min="5126" max="5126" width="10.7109375" style="1" customWidth="1"/>
    <col min="5127" max="5127" width="11" style="1" customWidth="1"/>
    <col min="5128" max="5128" width="11.7109375" style="1" customWidth="1"/>
    <col min="5129" max="5129" width="15.28515625" style="1" customWidth="1"/>
    <col min="5130" max="5376" width="9.140625" style="1"/>
    <col min="5377" max="5377" width="27.140625" style="1" customWidth="1"/>
    <col min="5378" max="5378" width="13.140625" style="1" bestFit="1" customWidth="1"/>
    <col min="5379" max="5380" width="11" style="1" customWidth="1"/>
    <col min="5381" max="5381" width="12.42578125" style="1" customWidth="1"/>
    <col min="5382" max="5382" width="10.7109375" style="1" customWidth="1"/>
    <col min="5383" max="5383" width="11" style="1" customWidth="1"/>
    <col min="5384" max="5384" width="11.7109375" style="1" customWidth="1"/>
    <col min="5385" max="5385" width="15.28515625" style="1" customWidth="1"/>
    <col min="5386" max="5632" width="9.140625" style="1"/>
    <col min="5633" max="5633" width="27.140625" style="1" customWidth="1"/>
    <col min="5634" max="5634" width="13.140625" style="1" bestFit="1" customWidth="1"/>
    <col min="5635" max="5636" width="11" style="1" customWidth="1"/>
    <col min="5637" max="5637" width="12.42578125" style="1" customWidth="1"/>
    <col min="5638" max="5638" width="10.7109375" style="1" customWidth="1"/>
    <col min="5639" max="5639" width="11" style="1" customWidth="1"/>
    <col min="5640" max="5640" width="11.7109375" style="1" customWidth="1"/>
    <col min="5641" max="5641" width="15.28515625" style="1" customWidth="1"/>
    <col min="5642" max="5888" width="9.140625" style="1"/>
    <col min="5889" max="5889" width="27.140625" style="1" customWidth="1"/>
    <col min="5890" max="5890" width="13.140625" style="1" bestFit="1" customWidth="1"/>
    <col min="5891" max="5892" width="11" style="1" customWidth="1"/>
    <col min="5893" max="5893" width="12.42578125" style="1" customWidth="1"/>
    <col min="5894" max="5894" width="10.7109375" style="1" customWidth="1"/>
    <col min="5895" max="5895" width="11" style="1" customWidth="1"/>
    <col min="5896" max="5896" width="11.7109375" style="1" customWidth="1"/>
    <col min="5897" max="5897" width="15.28515625" style="1" customWidth="1"/>
    <col min="5898" max="6144" width="9.140625" style="1"/>
    <col min="6145" max="6145" width="27.140625" style="1" customWidth="1"/>
    <col min="6146" max="6146" width="13.140625" style="1" bestFit="1" customWidth="1"/>
    <col min="6147" max="6148" width="11" style="1" customWidth="1"/>
    <col min="6149" max="6149" width="12.42578125" style="1" customWidth="1"/>
    <col min="6150" max="6150" width="10.7109375" style="1" customWidth="1"/>
    <col min="6151" max="6151" width="11" style="1" customWidth="1"/>
    <col min="6152" max="6152" width="11.7109375" style="1" customWidth="1"/>
    <col min="6153" max="6153" width="15.28515625" style="1" customWidth="1"/>
    <col min="6154" max="6400" width="9.140625" style="1"/>
    <col min="6401" max="6401" width="27.140625" style="1" customWidth="1"/>
    <col min="6402" max="6402" width="13.140625" style="1" bestFit="1" customWidth="1"/>
    <col min="6403" max="6404" width="11" style="1" customWidth="1"/>
    <col min="6405" max="6405" width="12.42578125" style="1" customWidth="1"/>
    <col min="6406" max="6406" width="10.7109375" style="1" customWidth="1"/>
    <col min="6407" max="6407" width="11" style="1" customWidth="1"/>
    <col min="6408" max="6408" width="11.7109375" style="1" customWidth="1"/>
    <col min="6409" max="6409" width="15.28515625" style="1" customWidth="1"/>
    <col min="6410" max="6656" width="9.140625" style="1"/>
    <col min="6657" max="6657" width="27.140625" style="1" customWidth="1"/>
    <col min="6658" max="6658" width="13.140625" style="1" bestFit="1" customWidth="1"/>
    <col min="6659" max="6660" width="11" style="1" customWidth="1"/>
    <col min="6661" max="6661" width="12.42578125" style="1" customWidth="1"/>
    <col min="6662" max="6662" width="10.7109375" style="1" customWidth="1"/>
    <col min="6663" max="6663" width="11" style="1" customWidth="1"/>
    <col min="6664" max="6664" width="11.7109375" style="1" customWidth="1"/>
    <col min="6665" max="6665" width="15.28515625" style="1" customWidth="1"/>
    <col min="6666" max="6912" width="9.140625" style="1"/>
    <col min="6913" max="6913" width="27.140625" style="1" customWidth="1"/>
    <col min="6914" max="6914" width="13.140625" style="1" bestFit="1" customWidth="1"/>
    <col min="6915" max="6916" width="11" style="1" customWidth="1"/>
    <col min="6917" max="6917" width="12.42578125" style="1" customWidth="1"/>
    <col min="6918" max="6918" width="10.7109375" style="1" customWidth="1"/>
    <col min="6919" max="6919" width="11" style="1" customWidth="1"/>
    <col min="6920" max="6920" width="11.7109375" style="1" customWidth="1"/>
    <col min="6921" max="6921" width="15.28515625" style="1" customWidth="1"/>
    <col min="6922" max="7168" width="9.140625" style="1"/>
    <col min="7169" max="7169" width="27.140625" style="1" customWidth="1"/>
    <col min="7170" max="7170" width="13.140625" style="1" bestFit="1" customWidth="1"/>
    <col min="7171" max="7172" width="11" style="1" customWidth="1"/>
    <col min="7173" max="7173" width="12.42578125" style="1" customWidth="1"/>
    <col min="7174" max="7174" width="10.7109375" style="1" customWidth="1"/>
    <col min="7175" max="7175" width="11" style="1" customWidth="1"/>
    <col min="7176" max="7176" width="11.7109375" style="1" customWidth="1"/>
    <col min="7177" max="7177" width="15.28515625" style="1" customWidth="1"/>
    <col min="7178" max="7424" width="9.140625" style="1"/>
    <col min="7425" max="7425" width="27.140625" style="1" customWidth="1"/>
    <col min="7426" max="7426" width="13.140625" style="1" bestFit="1" customWidth="1"/>
    <col min="7427" max="7428" width="11" style="1" customWidth="1"/>
    <col min="7429" max="7429" width="12.42578125" style="1" customWidth="1"/>
    <col min="7430" max="7430" width="10.7109375" style="1" customWidth="1"/>
    <col min="7431" max="7431" width="11" style="1" customWidth="1"/>
    <col min="7432" max="7432" width="11.7109375" style="1" customWidth="1"/>
    <col min="7433" max="7433" width="15.28515625" style="1" customWidth="1"/>
    <col min="7434" max="7680" width="9.140625" style="1"/>
    <col min="7681" max="7681" width="27.140625" style="1" customWidth="1"/>
    <col min="7682" max="7682" width="13.140625" style="1" bestFit="1" customWidth="1"/>
    <col min="7683" max="7684" width="11" style="1" customWidth="1"/>
    <col min="7685" max="7685" width="12.42578125" style="1" customWidth="1"/>
    <col min="7686" max="7686" width="10.7109375" style="1" customWidth="1"/>
    <col min="7687" max="7687" width="11" style="1" customWidth="1"/>
    <col min="7688" max="7688" width="11.7109375" style="1" customWidth="1"/>
    <col min="7689" max="7689" width="15.28515625" style="1" customWidth="1"/>
    <col min="7690" max="7936" width="9.140625" style="1"/>
    <col min="7937" max="7937" width="27.140625" style="1" customWidth="1"/>
    <col min="7938" max="7938" width="13.140625" style="1" bestFit="1" customWidth="1"/>
    <col min="7939" max="7940" width="11" style="1" customWidth="1"/>
    <col min="7941" max="7941" width="12.42578125" style="1" customWidth="1"/>
    <col min="7942" max="7942" width="10.7109375" style="1" customWidth="1"/>
    <col min="7943" max="7943" width="11" style="1" customWidth="1"/>
    <col min="7944" max="7944" width="11.7109375" style="1" customWidth="1"/>
    <col min="7945" max="7945" width="15.28515625" style="1" customWidth="1"/>
    <col min="7946" max="8192" width="9.140625" style="1"/>
    <col min="8193" max="8193" width="27.140625" style="1" customWidth="1"/>
    <col min="8194" max="8194" width="13.140625" style="1" bestFit="1" customWidth="1"/>
    <col min="8195" max="8196" width="11" style="1" customWidth="1"/>
    <col min="8197" max="8197" width="12.42578125" style="1" customWidth="1"/>
    <col min="8198" max="8198" width="10.7109375" style="1" customWidth="1"/>
    <col min="8199" max="8199" width="11" style="1" customWidth="1"/>
    <col min="8200" max="8200" width="11.7109375" style="1" customWidth="1"/>
    <col min="8201" max="8201" width="15.28515625" style="1" customWidth="1"/>
    <col min="8202" max="8448" width="9.140625" style="1"/>
    <col min="8449" max="8449" width="27.140625" style="1" customWidth="1"/>
    <col min="8450" max="8450" width="13.140625" style="1" bestFit="1" customWidth="1"/>
    <col min="8451" max="8452" width="11" style="1" customWidth="1"/>
    <col min="8453" max="8453" width="12.42578125" style="1" customWidth="1"/>
    <col min="8454" max="8454" width="10.7109375" style="1" customWidth="1"/>
    <col min="8455" max="8455" width="11" style="1" customWidth="1"/>
    <col min="8456" max="8456" width="11.7109375" style="1" customWidth="1"/>
    <col min="8457" max="8457" width="15.28515625" style="1" customWidth="1"/>
    <col min="8458" max="8704" width="9.140625" style="1"/>
    <col min="8705" max="8705" width="27.140625" style="1" customWidth="1"/>
    <col min="8706" max="8706" width="13.140625" style="1" bestFit="1" customWidth="1"/>
    <col min="8707" max="8708" width="11" style="1" customWidth="1"/>
    <col min="8709" max="8709" width="12.42578125" style="1" customWidth="1"/>
    <col min="8710" max="8710" width="10.7109375" style="1" customWidth="1"/>
    <col min="8711" max="8711" width="11" style="1" customWidth="1"/>
    <col min="8712" max="8712" width="11.7109375" style="1" customWidth="1"/>
    <col min="8713" max="8713" width="15.28515625" style="1" customWidth="1"/>
    <col min="8714" max="8960" width="9.140625" style="1"/>
    <col min="8961" max="8961" width="27.140625" style="1" customWidth="1"/>
    <col min="8962" max="8962" width="13.140625" style="1" bestFit="1" customWidth="1"/>
    <col min="8963" max="8964" width="11" style="1" customWidth="1"/>
    <col min="8965" max="8965" width="12.42578125" style="1" customWidth="1"/>
    <col min="8966" max="8966" width="10.7109375" style="1" customWidth="1"/>
    <col min="8967" max="8967" width="11" style="1" customWidth="1"/>
    <col min="8968" max="8968" width="11.7109375" style="1" customWidth="1"/>
    <col min="8969" max="8969" width="15.28515625" style="1" customWidth="1"/>
    <col min="8970" max="9216" width="9.140625" style="1"/>
    <col min="9217" max="9217" width="27.140625" style="1" customWidth="1"/>
    <col min="9218" max="9218" width="13.140625" style="1" bestFit="1" customWidth="1"/>
    <col min="9219" max="9220" width="11" style="1" customWidth="1"/>
    <col min="9221" max="9221" width="12.42578125" style="1" customWidth="1"/>
    <col min="9222" max="9222" width="10.7109375" style="1" customWidth="1"/>
    <col min="9223" max="9223" width="11" style="1" customWidth="1"/>
    <col min="9224" max="9224" width="11.7109375" style="1" customWidth="1"/>
    <col min="9225" max="9225" width="15.28515625" style="1" customWidth="1"/>
    <col min="9226" max="9472" width="9.140625" style="1"/>
    <col min="9473" max="9473" width="27.140625" style="1" customWidth="1"/>
    <col min="9474" max="9474" width="13.140625" style="1" bestFit="1" customWidth="1"/>
    <col min="9475" max="9476" width="11" style="1" customWidth="1"/>
    <col min="9477" max="9477" width="12.42578125" style="1" customWidth="1"/>
    <col min="9478" max="9478" width="10.7109375" style="1" customWidth="1"/>
    <col min="9479" max="9479" width="11" style="1" customWidth="1"/>
    <col min="9480" max="9480" width="11.7109375" style="1" customWidth="1"/>
    <col min="9481" max="9481" width="15.28515625" style="1" customWidth="1"/>
    <col min="9482" max="9728" width="9.140625" style="1"/>
    <col min="9729" max="9729" width="27.140625" style="1" customWidth="1"/>
    <col min="9730" max="9730" width="13.140625" style="1" bestFit="1" customWidth="1"/>
    <col min="9731" max="9732" width="11" style="1" customWidth="1"/>
    <col min="9733" max="9733" width="12.42578125" style="1" customWidth="1"/>
    <col min="9734" max="9734" width="10.7109375" style="1" customWidth="1"/>
    <col min="9735" max="9735" width="11" style="1" customWidth="1"/>
    <col min="9736" max="9736" width="11.7109375" style="1" customWidth="1"/>
    <col min="9737" max="9737" width="15.28515625" style="1" customWidth="1"/>
    <col min="9738" max="9984" width="9.140625" style="1"/>
    <col min="9985" max="9985" width="27.140625" style="1" customWidth="1"/>
    <col min="9986" max="9986" width="13.140625" style="1" bestFit="1" customWidth="1"/>
    <col min="9987" max="9988" width="11" style="1" customWidth="1"/>
    <col min="9989" max="9989" width="12.42578125" style="1" customWidth="1"/>
    <col min="9990" max="9990" width="10.7109375" style="1" customWidth="1"/>
    <col min="9991" max="9991" width="11" style="1" customWidth="1"/>
    <col min="9992" max="9992" width="11.7109375" style="1" customWidth="1"/>
    <col min="9993" max="9993" width="15.28515625" style="1" customWidth="1"/>
    <col min="9994" max="10240" width="9.140625" style="1"/>
    <col min="10241" max="10241" width="27.140625" style="1" customWidth="1"/>
    <col min="10242" max="10242" width="13.140625" style="1" bestFit="1" customWidth="1"/>
    <col min="10243" max="10244" width="11" style="1" customWidth="1"/>
    <col min="10245" max="10245" width="12.42578125" style="1" customWidth="1"/>
    <col min="10246" max="10246" width="10.7109375" style="1" customWidth="1"/>
    <col min="10247" max="10247" width="11" style="1" customWidth="1"/>
    <col min="10248" max="10248" width="11.7109375" style="1" customWidth="1"/>
    <col min="10249" max="10249" width="15.28515625" style="1" customWidth="1"/>
    <col min="10250" max="10496" width="9.140625" style="1"/>
    <col min="10497" max="10497" width="27.140625" style="1" customWidth="1"/>
    <col min="10498" max="10498" width="13.140625" style="1" bestFit="1" customWidth="1"/>
    <col min="10499" max="10500" width="11" style="1" customWidth="1"/>
    <col min="10501" max="10501" width="12.42578125" style="1" customWidth="1"/>
    <col min="10502" max="10502" width="10.7109375" style="1" customWidth="1"/>
    <col min="10503" max="10503" width="11" style="1" customWidth="1"/>
    <col min="10504" max="10504" width="11.7109375" style="1" customWidth="1"/>
    <col min="10505" max="10505" width="15.28515625" style="1" customWidth="1"/>
    <col min="10506" max="10752" width="9.140625" style="1"/>
    <col min="10753" max="10753" width="27.140625" style="1" customWidth="1"/>
    <col min="10754" max="10754" width="13.140625" style="1" bestFit="1" customWidth="1"/>
    <col min="10755" max="10756" width="11" style="1" customWidth="1"/>
    <col min="10757" max="10757" width="12.42578125" style="1" customWidth="1"/>
    <col min="10758" max="10758" width="10.7109375" style="1" customWidth="1"/>
    <col min="10759" max="10759" width="11" style="1" customWidth="1"/>
    <col min="10760" max="10760" width="11.7109375" style="1" customWidth="1"/>
    <col min="10761" max="10761" width="15.28515625" style="1" customWidth="1"/>
    <col min="10762" max="11008" width="9.140625" style="1"/>
    <col min="11009" max="11009" width="27.140625" style="1" customWidth="1"/>
    <col min="11010" max="11010" width="13.140625" style="1" bestFit="1" customWidth="1"/>
    <col min="11011" max="11012" width="11" style="1" customWidth="1"/>
    <col min="11013" max="11013" width="12.42578125" style="1" customWidth="1"/>
    <col min="11014" max="11014" width="10.7109375" style="1" customWidth="1"/>
    <col min="11015" max="11015" width="11" style="1" customWidth="1"/>
    <col min="11016" max="11016" width="11.7109375" style="1" customWidth="1"/>
    <col min="11017" max="11017" width="15.28515625" style="1" customWidth="1"/>
    <col min="11018" max="11264" width="9.140625" style="1"/>
    <col min="11265" max="11265" width="27.140625" style="1" customWidth="1"/>
    <col min="11266" max="11266" width="13.140625" style="1" bestFit="1" customWidth="1"/>
    <col min="11267" max="11268" width="11" style="1" customWidth="1"/>
    <col min="11269" max="11269" width="12.42578125" style="1" customWidth="1"/>
    <col min="11270" max="11270" width="10.7109375" style="1" customWidth="1"/>
    <col min="11271" max="11271" width="11" style="1" customWidth="1"/>
    <col min="11272" max="11272" width="11.7109375" style="1" customWidth="1"/>
    <col min="11273" max="11273" width="15.28515625" style="1" customWidth="1"/>
    <col min="11274" max="11520" width="9.140625" style="1"/>
    <col min="11521" max="11521" width="27.140625" style="1" customWidth="1"/>
    <col min="11522" max="11522" width="13.140625" style="1" bestFit="1" customWidth="1"/>
    <col min="11523" max="11524" width="11" style="1" customWidth="1"/>
    <col min="11525" max="11525" width="12.42578125" style="1" customWidth="1"/>
    <col min="11526" max="11526" width="10.7109375" style="1" customWidth="1"/>
    <col min="11527" max="11527" width="11" style="1" customWidth="1"/>
    <col min="11528" max="11528" width="11.7109375" style="1" customWidth="1"/>
    <col min="11529" max="11529" width="15.28515625" style="1" customWidth="1"/>
    <col min="11530" max="11776" width="9.140625" style="1"/>
    <col min="11777" max="11777" width="27.140625" style="1" customWidth="1"/>
    <col min="11778" max="11778" width="13.140625" style="1" bestFit="1" customWidth="1"/>
    <col min="11779" max="11780" width="11" style="1" customWidth="1"/>
    <col min="11781" max="11781" width="12.42578125" style="1" customWidth="1"/>
    <col min="11782" max="11782" width="10.7109375" style="1" customWidth="1"/>
    <col min="11783" max="11783" width="11" style="1" customWidth="1"/>
    <col min="11784" max="11784" width="11.7109375" style="1" customWidth="1"/>
    <col min="11785" max="11785" width="15.28515625" style="1" customWidth="1"/>
    <col min="11786" max="12032" width="9.140625" style="1"/>
    <col min="12033" max="12033" width="27.140625" style="1" customWidth="1"/>
    <col min="12034" max="12034" width="13.140625" style="1" bestFit="1" customWidth="1"/>
    <col min="12035" max="12036" width="11" style="1" customWidth="1"/>
    <col min="12037" max="12037" width="12.42578125" style="1" customWidth="1"/>
    <col min="12038" max="12038" width="10.7109375" style="1" customWidth="1"/>
    <col min="12039" max="12039" width="11" style="1" customWidth="1"/>
    <col min="12040" max="12040" width="11.7109375" style="1" customWidth="1"/>
    <col min="12041" max="12041" width="15.28515625" style="1" customWidth="1"/>
    <col min="12042" max="12288" width="9.140625" style="1"/>
    <col min="12289" max="12289" width="27.140625" style="1" customWidth="1"/>
    <col min="12290" max="12290" width="13.140625" style="1" bestFit="1" customWidth="1"/>
    <col min="12291" max="12292" width="11" style="1" customWidth="1"/>
    <col min="12293" max="12293" width="12.42578125" style="1" customWidth="1"/>
    <col min="12294" max="12294" width="10.7109375" style="1" customWidth="1"/>
    <col min="12295" max="12295" width="11" style="1" customWidth="1"/>
    <col min="12296" max="12296" width="11.7109375" style="1" customWidth="1"/>
    <col min="12297" max="12297" width="15.28515625" style="1" customWidth="1"/>
    <col min="12298" max="12544" width="9.140625" style="1"/>
    <col min="12545" max="12545" width="27.140625" style="1" customWidth="1"/>
    <col min="12546" max="12546" width="13.140625" style="1" bestFit="1" customWidth="1"/>
    <col min="12547" max="12548" width="11" style="1" customWidth="1"/>
    <col min="12549" max="12549" width="12.42578125" style="1" customWidth="1"/>
    <col min="12550" max="12550" width="10.7109375" style="1" customWidth="1"/>
    <col min="12551" max="12551" width="11" style="1" customWidth="1"/>
    <col min="12552" max="12552" width="11.7109375" style="1" customWidth="1"/>
    <col min="12553" max="12553" width="15.28515625" style="1" customWidth="1"/>
    <col min="12554" max="12800" width="9.140625" style="1"/>
    <col min="12801" max="12801" width="27.140625" style="1" customWidth="1"/>
    <col min="12802" max="12802" width="13.140625" style="1" bestFit="1" customWidth="1"/>
    <col min="12803" max="12804" width="11" style="1" customWidth="1"/>
    <col min="12805" max="12805" width="12.42578125" style="1" customWidth="1"/>
    <col min="12806" max="12806" width="10.7109375" style="1" customWidth="1"/>
    <col min="12807" max="12807" width="11" style="1" customWidth="1"/>
    <col min="12808" max="12808" width="11.7109375" style="1" customWidth="1"/>
    <col min="12809" max="12809" width="15.28515625" style="1" customWidth="1"/>
    <col min="12810" max="13056" width="9.140625" style="1"/>
    <col min="13057" max="13057" width="27.140625" style="1" customWidth="1"/>
    <col min="13058" max="13058" width="13.140625" style="1" bestFit="1" customWidth="1"/>
    <col min="13059" max="13060" width="11" style="1" customWidth="1"/>
    <col min="13061" max="13061" width="12.42578125" style="1" customWidth="1"/>
    <col min="13062" max="13062" width="10.7109375" style="1" customWidth="1"/>
    <col min="13063" max="13063" width="11" style="1" customWidth="1"/>
    <col min="13064" max="13064" width="11.7109375" style="1" customWidth="1"/>
    <col min="13065" max="13065" width="15.28515625" style="1" customWidth="1"/>
    <col min="13066" max="13312" width="9.140625" style="1"/>
    <col min="13313" max="13313" width="27.140625" style="1" customWidth="1"/>
    <col min="13314" max="13314" width="13.140625" style="1" bestFit="1" customWidth="1"/>
    <col min="13315" max="13316" width="11" style="1" customWidth="1"/>
    <col min="13317" max="13317" width="12.42578125" style="1" customWidth="1"/>
    <col min="13318" max="13318" width="10.7109375" style="1" customWidth="1"/>
    <col min="13319" max="13319" width="11" style="1" customWidth="1"/>
    <col min="13320" max="13320" width="11.7109375" style="1" customWidth="1"/>
    <col min="13321" max="13321" width="15.28515625" style="1" customWidth="1"/>
    <col min="13322" max="13568" width="9.140625" style="1"/>
    <col min="13569" max="13569" width="27.140625" style="1" customWidth="1"/>
    <col min="13570" max="13570" width="13.140625" style="1" bestFit="1" customWidth="1"/>
    <col min="13571" max="13572" width="11" style="1" customWidth="1"/>
    <col min="13573" max="13573" width="12.42578125" style="1" customWidth="1"/>
    <col min="13574" max="13574" width="10.7109375" style="1" customWidth="1"/>
    <col min="13575" max="13575" width="11" style="1" customWidth="1"/>
    <col min="13576" max="13576" width="11.7109375" style="1" customWidth="1"/>
    <col min="13577" max="13577" width="15.28515625" style="1" customWidth="1"/>
    <col min="13578" max="13824" width="9.140625" style="1"/>
    <col min="13825" max="13825" width="27.140625" style="1" customWidth="1"/>
    <col min="13826" max="13826" width="13.140625" style="1" bestFit="1" customWidth="1"/>
    <col min="13827" max="13828" width="11" style="1" customWidth="1"/>
    <col min="13829" max="13829" width="12.42578125" style="1" customWidth="1"/>
    <col min="13830" max="13830" width="10.7109375" style="1" customWidth="1"/>
    <col min="13831" max="13831" width="11" style="1" customWidth="1"/>
    <col min="13832" max="13832" width="11.7109375" style="1" customWidth="1"/>
    <col min="13833" max="13833" width="15.28515625" style="1" customWidth="1"/>
    <col min="13834" max="14080" width="9.140625" style="1"/>
    <col min="14081" max="14081" width="27.140625" style="1" customWidth="1"/>
    <col min="14082" max="14082" width="13.140625" style="1" bestFit="1" customWidth="1"/>
    <col min="14083" max="14084" width="11" style="1" customWidth="1"/>
    <col min="14085" max="14085" width="12.42578125" style="1" customWidth="1"/>
    <col min="14086" max="14086" width="10.7109375" style="1" customWidth="1"/>
    <col min="14087" max="14087" width="11" style="1" customWidth="1"/>
    <col min="14088" max="14088" width="11.7109375" style="1" customWidth="1"/>
    <col min="14089" max="14089" width="15.28515625" style="1" customWidth="1"/>
    <col min="14090" max="14336" width="9.140625" style="1"/>
    <col min="14337" max="14337" width="27.140625" style="1" customWidth="1"/>
    <col min="14338" max="14338" width="13.140625" style="1" bestFit="1" customWidth="1"/>
    <col min="14339" max="14340" width="11" style="1" customWidth="1"/>
    <col min="14341" max="14341" width="12.42578125" style="1" customWidth="1"/>
    <col min="14342" max="14342" width="10.7109375" style="1" customWidth="1"/>
    <col min="14343" max="14343" width="11" style="1" customWidth="1"/>
    <col min="14344" max="14344" width="11.7109375" style="1" customWidth="1"/>
    <col min="14345" max="14345" width="15.28515625" style="1" customWidth="1"/>
    <col min="14346" max="14592" width="9.140625" style="1"/>
    <col min="14593" max="14593" width="27.140625" style="1" customWidth="1"/>
    <col min="14594" max="14594" width="13.140625" style="1" bestFit="1" customWidth="1"/>
    <col min="14595" max="14596" width="11" style="1" customWidth="1"/>
    <col min="14597" max="14597" width="12.42578125" style="1" customWidth="1"/>
    <col min="14598" max="14598" width="10.7109375" style="1" customWidth="1"/>
    <col min="14599" max="14599" width="11" style="1" customWidth="1"/>
    <col min="14600" max="14600" width="11.7109375" style="1" customWidth="1"/>
    <col min="14601" max="14601" width="15.28515625" style="1" customWidth="1"/>
    <col min="14602" max="14848" width="9.140625" style="1"/>
    <col min="14849" max="14849" width="27.140625" style="1" customWidth="1"/>
    <col min="14850" max="14850" width="13.140625" style="1" bestFit="1" customWidth="1"/>
    <col min="14851" max="14852" width="11" style="1" customWidth="1"/>
    <col min="14853" max="14853" width="12.42578125" style="1" customWidth="1"/>
    <col min="14854" max="14854" width="10.7109375" style="1" customWidth="1"/>
    <col min="14855" max="14855" width="11" style="1" customWidth="1"/>
    <col min="14856" max="14856" width="11.7109375" style="1" customWidth="1"/>
    <col min="14857" max="14857" width="15.28515625" style="1" customWidth="1"/>
    <col min="14858" max="15104" width="9.140625" style="1"/>
    <col min="15105" max="15105" width="27.140625" style="1" customWidth="1"/>
    <col min="15106" max="15106" width="13.140625" style="1" bestFit="1" customWidth="1"/>
    <col min="15107" max="15108" width="11" style="1" customWidth="1"/>
    <col min="15109" max="15109" width="12.42578125" style="1" customWidth="1"/>
    <col min="15110" max="15110" width="10.7109375" style="1" customWidth="1"/>
    <col min="15111" max="15111" width="11" style="1" customWidth="1"/>
    <col min="15112" max="15112" width="11.7109375" style="1" customWidth="1"/>
    <col min="15113" max="15113" width="15.28515625" style="1" customWidth="1"/>
    <col min="15114" max="15360" width="9.140625" style="1"/>
    <col min="15361" max="15361" width="27.140625" style="1" customWidth="1"/>
    <col min="15362" max="15362" width="13.140625" style="1" bestFit="1" customWidth="1"/>
    <col min="15363" max="15364" width="11" style="1" customWidth="1"/>
    <col min="15365" max="15365" width="12.42578125" style="1" customWidth="1"/>
    <col min="15366" max="15366" width="10.7109375" style="1" customWidth="1"/>
    <col min="15367" max="15367" width="11" style="1" customWidth="1"/>
    <col min="15368" max="15368" width="11.7109375" style="1" customWidth="1"/>
    <col min="15369" max="15369" width="15.28515625" style="1" customWidth="1"/>
    <col min="15370" max="15616" width="9.140625" style="1"/>
    <col min="15617" max="15617" width="27.140625" style="1" customWidth="1"/>
    <col min="15618" max="15618" width="13.140625" style="1" bestFit="1" customWidth="1"/>
    <col min="15619" max="15620" width="11" style="1" customWidth="1"/>
    <col min="15621" max="15621" width="12.42578125" style="1" customWidth="1"/>
    <col min="15622" max="15622" width="10.7109375" style="1" customWidth="1"/>
    <col min="15623" max="15623" width="11" style="1" customWidth="1"/>
    <col min="15624" max="15624" width="11.7109375" style="1" customWidth="1"/>
    <col min="15625" max="15625" width="15.28515625" style="1" customWidth="1"/>
    <col min="15626" max="15872" width="9.140625" style="1"/>
    <col min="15873" max="15873" width="27.140625" style="1" customWidth="1"/>
    <col min="15874" max="15874" width="13.140625" style="1" bestFit="1" customWidth="1"/>
    <col min="15875" max="15876" width="11" style="1" customWidth="1"/>
    <col min="15877" max="15877" width="12.42578125" style="1" customWidth="1"/>
    <col min="15878" max="15878" width="10.7109375" style="1" customWidth="1"/>
    <col min="15879" max="15879" width="11" style="1" customWidth="1"/>
    <col min="15880" max="15880" width="11.7109375" style="1" customWidth="1"/>
    <col min="15881" max="15881" width="15.28515625" style="1" customWidth="1"/>
    <col min="15882" max="16128" width="9.140625" style="1"/>
    <col min="16129" max="16129" width="27.140625" style="1" customWidth="1"/>
    <col min="16130" max="16130" width="13.140625" style="1" bestFit="1" customWidth="1"/>
    <col min="16131" max="16132" width="11" style="1" customWidth="1"/>
    <col min="16133" max="16133" width="12.42578125" style="1" customWidth="1"/>
    <col min="16134" max="16134" width="10.7109375" style="1" customWidth="1"/>
    <col min="16135" max="16135" width="11" style="1" customWidth="1"/>
    <col min="16136" max="16136" width="11.7109375" style="1" customWidth="1"/>
    <col min="16137" max="16137" width="15.28515625" style="1" customWidth="1"/>
    <col min="16138" max="16384" width="9.140625" style="1"/>
  </cols>
  <sheetData>
    <row r="1" spans="1:10" ht="30.75" customHeight="1" thickTop="1">
      <c r="A1" s="180" t="s">
        <v>45</v>
      </c>
      <c r="B1" s="179" t="s">
        <v>44</v>
      </c>
      <c r="C1" s="179"/>
      <c r="D1" s="179"/>
      <c r="E1" s="178"/>
      <c r="F1" s="178"/>
      <c r="G1" s="178"/>
      <c r="H1" s="178"/>
      <c r="I1" s="177"/>
      <c r="J1" s="49"/>
    </row>
    <row r="2" spans="1:10" ht="20.25" customHeight="1" thickBot="1">
      <c r="A2" s="176" t="s">
        <v>43</v>
      </c>
      <c r="B2" s="174"/>
      <c r="C2" s="174"/>
      <c r="D2" s="174"/>
      <c r="E2" s="175">
        <v>40765</v>
      </c>
      <c r="F2" s="174"/>
      <c r="G2" s="174"/>
      <c r="H2" s="174"/>
      <c r="I2" s="173"/>
      <c r="J2" s="49"/>
    </row>
    <row r="3" spans="1:10" ht="54.75" customHeight="1" thickBot="1">
      <c r="A3" s="172" t="s">
        <v>42</v>
      </c>
      <c r="B3" s="171" t="s">
        <v>41</v>
      </c>
      <c r="C3" s="170" t="s">
        <v>40</v>
      </c>
      <c r="D3" s="170" t="s">
        <v>39</v>
      </c>
      <c r="E3" s="170" t="s">
        <v>38</v>
      </c>
      <c r="F3" s="169" t="s">
        <v>37</v>
      </c>
      <c r="G3" s="168" t="s">
        <v>36</v>
      </c>
      <c r="H3" s="167" t="s">
        <v>35</v>
      </c>
      <c r="I3" s="166" t="s">
        <v>34</v>
      </c>
      <c r="J3" s="49"/>
    </row>
    <row r="4" spans="1:10">
      <c r="A4" s="165" t="s">
        <v>33</v>
      </c>
      <c r="B4" s="164" t="s">
        <v>33</v>
      </c>
      <c r="C4" s="163"/>
      <c r="D4" s="163"/>
      <c r="E4" s="163"/>
      <c r="F4" s="162">
        <v>3710</v>
      </c>
      <c r="G4" s="161">
        <v>25</v>
      </c>
      <c r="H4" s="160">
        <v>0</v>
      </c>
      <c r="I4" s="134">
        <f>+F4*G4</f>
        <v>92750</v>
      </c>
      <c r="J4" s="49"/>
    </row>
    <row r="5" spans="1:10">
      <c r="A5" s="165" t="s">
        <v>32</v>
      </c>
      <c r="B5" s="164"/>
      <c r="C5" s="163"/>
      <c r="D5" s="163"/>
      <c r="E5" s="163"/>
      <c r="F5" s="162"/>
      <c r="G5" s="161"/>
      <c r="H5" s="160"/>
      <c r="I5" s="134">
        <f>+F5*G5</f>
        <v>0</v>
      </c>
      <c r="J5" s="49"/>
    </row>
    <row r="6" spans="1:10">
      <c r="A6" s="159" t="s">
        <v>7</v>
      </c>
      <c r="B6" s="158"/>
      <c r="C6" s="157"/>
      <c r="D6" s="157"/>
      <c r="E6" s="157"/>
      <c r="F6" s="156">
        <f>SUM(F4:F5)</f>
        <v>3710</v>
      </c>
      <c r="G6" s="155"/>
      <c r="H6" s="154"/>
      <c r="I6" s="153">
        <f>SUM(I4:I5)</f>
        <v>92750</v>
      </c>
      <c r="J6" s="49"/>
    </row>
    <row r="7" spans="1:10">
      <c r="A7" s="152"/>
      <c r="B7" s="151"/>
      <c r="C7" s="150"/>
      <c r="D7" s="150"/>
      <c r="E7" s="149"/>
      <c r="F7" s="148"/>
      <c r="G7" s="147"/>
      <c r="H7" s="135"/>
      <c r="I7" s="134"/>
      <c r="J7" s="49"/>
    </row>
    <row r="8" spans="1:10">
      <c r="A8" s="146" t="s">
        <v>31</v>
      </c>
      <c r="B8" s="145"/>
      <c r="C8" s="144"/>
      <c r="D8" s="144"/>
      <c r="E8" s="143"/>
      <c r="F8" s="142" t="s">
        <v>30</v>
      </c>
      <c r="G8" s="141" t="s">
        <v>29</v>
      </c>
      <c r="H8" s="135"/>
      <c r="I8" s="134"/>
      <c r="J8" s="49"/>
    </row>
    <row r="9" spans="1:10">
      <c r="A9" s="140"/>
      <c r="B9" s="139"/>
      <c r="C9" s="32"/>
      <c r="D9" s="32"/>
      <c r="E9" s="138" t="s">
        <v>28</v>
      </c>
      <c r="F9" s="137"/>
      <c r="G9" s="136"/>
      <c r="H9" s="135"/>
      <c r="I9" s="134">
        <f>+F9*G9</f>
        <v>0</v>
      </c>
      <c r="J9" s="49"/>
    </row>
    <row r="10" spans="1:10">
      <c r="A10" s="140"/>
      <c r="B10" s="139"/>
      <c r="C10" s="32"/>
      <c r="D10" s="32"/>
      <c r="E10" s="138" t="s">
        <v>27</v>
      </c>
      <c r="F10" s="137"/>
      <c r="G10" s="136"/>
      <c r="H10" s="135"/>
      <c r="I10" s="134">
        <f>+F10*G10</f>
        <v>0</v>
      </c>
      <c r="J10" s="49"/>
    </row>
    <row r="11" spans="1:10">
      <c r="A11" s="133"/>
      <c r="B11" s="132"/>
      <c r="C11" s="131"/>
      <c r="D11" s="131"/>
      <c r="E11" s="130" t="s">
        <v>26</v>
      </c>
      <c r="F11" s="129"/>
      <c r="G11" s="128"/>
      <c r="H11" s="127"/>
      <c r="I11" s="126">
        <f>+F11*G11</f>
        <v>0</v>
      </c>
      <c r="J11" s="49"/>
    </row>
    <row r="12" spans="1:10" ht="15.75" thickBot="1">
      <c r="A12" s="125" t="s">
        <v>19</v>
      </c>
      <c r="B12" s="124"/>
      <c r="C12" s="123"/>
      <c r="D12" s="123"/>
      <c r="E12" s="122"/>
      <c r="F12" s="121">
        <f>SUM(F9:F11)</f>
        <v>0</v>
      </c>
      <c r="G12" s="120"/>
      <c r="H12" s="119"/>
      <c r="I12" s="118">
        <f>SUM(I9:I11)</f>
        <v>0</v>
      </c>
      <c r="J12" s="49"/>
    </row>
    <row r="13" spans="1:10" ht="18.75" customHeight="1" thickBot="1">
      <c r="A13" s="117" t="s">
        <v>25</v>
      </c>
      <c r="B13" s="116"/>
      <c r="C13" s="115"/>
      <c r="D13" s="115"/>
      <c r="E13" s="114"/>
      <c r="F13" s="113"/>
      <c r="G13" s="112"/>
      <c r="H13" s="106"/>
      <c r="I13" s="104">
        <f>+I12+I6</f>
        <v>92750</v>
      </c>
      <c r="J13" s="49"/>
    </row>
    <row r="14" spans="1:10" ht="18.75" customHeight="1" thickBot="1">
      <c r="A14" s="111" t="s">
        <v>24</v>
      </c>
      <c r="B14" s="110"/>
      <c r="C14" s="109"/>
      <c r="D14" s="109"/>
      <c r="E14" s="108"/>
      <c r="F14" s="107"/>
      <c r="G14" s="106"/>
      <c r="H14" s="105"/>
      <c r="I14" s="104">
        <f>+I13*12</f>
        <v>1113000</v>
      </c>
      <c r="J14" s="49"/>
    </row>
    <row r="15" spans="1:10" ht="18.75" customHeight="1">
      <c r="A15" s="103" t="s">
        <v>23</v>
      </c>
      <c r="B15" s="102"/>
      <c r="C15" s="101"/>
      <c r="D15" s="101"/>
      <c r="E15" s="100" t="s">
        <v>22</v>
      </c>
      <c r="F15" s="100" t="s">
        <v>21</v>
      </c>
      <c r="G15" s="99" t="s">
        <v>20</v>
      </c>
      <c r="H15" s="98"/>
      <c r="I15" s="97"/>
      <c r="J15" s="49"/>
    </row>
    <row r="16" spans="1:10" ht="15.75" thickBot="1">
      <c r="A16" s="96" t="s">
        <v>19</v>
      </c>
      <c r="B16" s="95" t="s">
        <v>18</v>
      </c>
      <c r="C16" s="94"/>
      <c r="D16" s="94"/>
      <c r="E16" s="93">
        <v>16000</v>
      </c>
      <c r="F16" s="93">
        <f>+E16*12</f>
        <v>192000</v>
      </c>
      <c r="G16" s="92">
        <f>+E16/F6</f>
        <v>4.3126684636118595</v>
      </c>
      <c r="H16" s="91">
        <v>0.16259999999999999</v>
      </c>
      <c r="I16" s="90"/>
      <c r="J16" s="49"/>
    </row>
    <row r="17" spans="1:10" ht="18.75" customHeight="1">
      <c r="A17" s="89" t="s">
        <v>18</v>
      </c>
      <c r="B17" s="88"/>
      <c r="C17" s="87"/>
      <c r="D17" s="87"/>
      <c r="E17" s="86"/>
      <c r="F17" s="85"/>
      <c r="G17" s="84"/>
      <c r="H17" s="83">
        <v>0</v>
      </c>
      <c r="I17" s="82">
        <f>+I14*-H17</f>
        <v>0</v>
      </c>
      <c r="J17" s="49"/>
    </row>
    <row r="18" spans="1:10" ht="18.75" customHeight="1">
      <c r="A18" s="81" t="s">
        <v>17</v>
      </c>
      <c r="B18" s="80"/>
      <c r="C18" s="79"/>
      <c r="D18" s="79"/>
      <c r="E18" s="78"/>
      <c r="F18" s="77"/>
      <c r="G18" s="76"/>
      <c r="H18" s="75"/>
      <c r="I18" s="74">
        <f>+I19/12</f>
        <v>76750</v>
      </c>
      <c r="J18" s="49"/>
    </row>
    <row r="19" spans="1:10" ht="18.75" customHeight="1">
      <c r="A19" s="70" t="s">
        <v>16</v>
      </c>
      <c r="B19" s="72"/>
      <c r="C19" s="68"/>
      <c r="D19" s="68"/>
      <c r="E19" s="67"/>
      <c r="F19" s="67"/>
      <c r="G19" s="73"/>
      <c r="H19" s="71"/>
      <c r="I19" s="64">
        <f>+I14-F16</f>
        <v>921000</v>
      </c>
      <c r="J19" s="49"/>
    </row>
    <row r="20" spans="1:10" ht="18.75" customHeight="1">
      <c r="A20" s="70" t="s">
        <v>15</v>
      </c>
      <c r="B20" s="72"/>
      <c r="C20" s="68"/>
      <c r="D20" s="68"/>
      <c r="E20" s="67"/>
      <c r="F20" s="67"/>
      <c r="G20" s="66"/>
      <c r="H20" s="71">
        <v>0.12</v>
      </c>
      <c r="I20" s="64">
        <f>+I19/H20</f>
        <v>7675000</v>
      </c>
      <c r="J20" s="49"/>
    </row>
    <row r="21" spans="1:10" ht="18.75" customHeight="1">
      <c r="A21" s="70" t="s">
        <v>14</v>
      </c>
      <c r="B21" s="69">
        <v>0</v>
      </c>
      <c r="C21" s="68"/>
      <c r="D21" s="68"/>
      <c r="E21" s="67"/>
      <c r="F21" s="67"/>
      <c r="G21" s="66"/>
      <c r="H21" s="65">
        <v>0</v>
      </c>
      <c r="I21" s="64">
        <f>H21*B21</f>
        <v>0</v>
      </c>
      <c r="J21" s="49"/>
    </row>
    <row r="22" spans="1:10" ht="18.75" customHeight="1">
      <c r="A22" s="63" t="s">
        <v>13</v>
      </c>
      <c r="B22" s="62" t="s">
        <v>12</v>
      </c>
      <c r="C22" s="60"/>
      <c r="D22" s="60"/>
      <c r="E22" s="61"/>
      <c r="F22" s="60"/>
      <c r="G22" s="59"/>
      <c r="H22" s="58"/>
      <c r="I22" s="57">
        <f>ROUND(I20+I21,-4)</f>
        <v>7680000</v>
      </c>
      <c r="J22" s="49"/>
    </row>
    <row r="23" spans="1:10" ht="18.75" customHeight="1" thickBot="1">
      <c r="A23" s="56" t="s">
        <v>11</v>
      </c>
      <c r="B23" s="55" t="s">
        <v>10</v>
      </c>
      <c r="C23" s="53"/>
      <c r="D23" s="53"/>
      <c r="E23" s="54"/>
      <c r="F23" s="53"/>
      <c r="G23" s="52"/>
      <c r="H23" s="51">
        <v>0.7</v>
      </c>
      <c r="I23" s="50">
        <f>ROUND(I22*H23,-4)</f>
        <v>5380000</v>
      </c>
      <c r="J23" s="49"/>
    </row>
    <row r="24" spans="1:10" ht="15.75" thickTop="1">
      <c r="A24" s="8"/>
      <c r="B24" s="8"/>
      <c r="C24" s="8"/>
      <c r="D24" s="8"/>
      <c r="E24" s="8"/>
      <c r="F24" s="8"/>
      <c r="G24" s="3"/>
      <c r="H24" s="3"/>
      <c r="I24" s="7"/>
    </row>
    <row r="25" spans="1:10" ht="15.75" thickBot="1">
      <c r="A25" s="8"/>
      <c r="B25" s="8"/>
      <c r="C25" s="8"/>
      <c r="D25" s="8"/>
      <c r="E25" s="8"/>
      <c r="F25" s="8"/>
      <c r="G25" s="3"/>
      <c r="H25" s="3"/>
      <c r="I25" s="7"/>
    </row>
    <row r="26" spans="1:10" ht="15.75" thickTop="1">
      <c r="A26" s="48" t="s">
        <v>9</v>
      </c>
      <c r="B26" s="47">
        <v>0.7</v>
      </c>
      <c r="C26" s="46"/>
      <c r="D26" s="45"/>
      <c r="E26" s="44">
        <f>+I23</f>
        <v>5380000</v>
      </c>
      <c r="F26" s="8"/>
      <c r="G26" s="3"/>
      <c r="H26" s="3"/>
      <c r="I26" s="7"/>
    </row>
    <row r="27" spans="1:10">
      <c r="A27" s="43" t="s">
        <v>8</v>
      </c>
      <c r="B27" s="42">
        <v>0.3</v>
      </c>
      <c r="C27" s="41"/>
      <c r="D27" s="40"/>
      <c r="E27" s="39">
        <f>+I22-E26</f>
        <v>2300000</v>
      </c>
      <c r="F27" s="8"/>
      <c r="G27" s="3"/>
      <c r="H27" s="3"/>
      <c r="I27" s="7"/>
    </row>
    <row r="28" spans="1:10">
      <c r="A28" s="38" t="s">
        <v>7</v>
      </c>
      <c r="B28" s="37">
        <f>SUM(B26:B27)</f>
        <v>1</v>
      </c>
      <c r="C28" s="36"/>
      <c r="D28" s="35"/>
      <c r="E28" s="34">
        <f>SUM(E26:E27)</f>
        <v>7680000</v>
      </c>
      <c r="F28" s="8"/>
      <c r="G28" s="3"/>
      <c r="H28" s="3"/>
      <c r="I28" s="7"/>
    </row>
    <row r="29" spans="1:10">
      <c r="A29" s="29"/>
      <c r="B29" s="28"/>
      <c r="C29" s="33"/>
      <c r="D29" s="32"/>
      <c r="E29" s="31"/>
      <c r="F29" s="8"/>
      <c r="G29" s="3"/>
      <c r="H29" s="3"/>
      <c r="I29" s="7"/>
    </row>
    <row r="30" spans="1:10">
      <c r="A30" s="29" t="s">
        <v>6</v>
      </c>
      <c r="B30" s="28"/>
      <c r="C30" s="27"/>
      <c r="D30" s="26"/>
      <c r="E30" s="30">
        <f>+I18</f>
        <v>76750</v>
      </c>
      <c r="F30" s="8"/>
      <c r="G30" s="3"/>
      <c r="H30" s="3"/>
      <c r="I30" s="7"/>
    </row>
    <row r="31" spans="1:10">
      <c r="A31" s="29" t="s">
        <v>5</v>
      </c>
      <c r="B31" s="28"/>
      <c r="C31" s="27"/>
      <c r="D31" s="26"/>
      <c r="E31" s="25">
        <f>PMT(B33/12,B32*12,E26)</f>
        <v>-68151.566277633741</v>
      </c>
      <c r="F31" s="8"/>
      <c r="G31" s="3"/>
      <c r="H31" s="3"/>
      <c r="I31" s="7"/>
    </row>
    <row r="32" spans="1:10">
      <c r="A32" s="24" t="s">
        <v>4</v>
      </c>
      <c r="B32" s="23">
        <v>10</v>
      </c>
      <c r="C32" s="22" t="s">
        <v>3</v>
      </c>
      <c r="D32" s="21"/>
      <c r="E32" s="20"/>
      <c r="F32" s="8"/>
      <c r="G32" s="3"/>
      <c r="H32" s="3"/>
      <c r="I32" s="7"/>
    </row>
    <row r="33" spans="1:9">
      <c r="A33" s="19" t="s">
        <v>2</v>
      </c>
      <c r="B33" s="18">
        <v>0.09</v>
      </c>
      <c r="C33" s="17" t="s">
        <v>1</v>
      </c>
      <c r="D33" s="16"/>
      <c r="E33" s="15"/>
      <c r="F33" s="8"/>
      <c r="G33" s="3"/>
      <c r="H33" s="3"/>
      <c r="I33" s="7"/>
    </row>
    <row r="34" spans="1:9" ht="15.75" thickBot="1">
      <c r="A34" s="14" t="s">
        <v>0</v>
      </c>
      <c r="B34" s="13"/>
      <c r="C34" s="12"/>
      <c r="D34" s="11"/>
      <c r="E34" s="10">
        <f>SUM(E30:E33)</f>
        <v>8598.4337223662587</v>
      </c>
      <c r="F34" s="8"/>
      <c r="G34" s="3"/>
      <c r="H34" s="3"/>
      <c r="I34" s="7"/>
    </row>
    <row r="35" spans="1:9" ht="15.75" thickTop="1">
      <c r="A35" s="8"/>
      <c r="B35" s="9"/>
      <c r="C35" s="9"/>
      <c r="D35" s="9"/>
      <c r="E35" s="8"/>
      <c r="F35" s="8"/>
      <c r="G35" s="3"/>
      <c r="H35" s="3"/>
      <c r="I35" s="7"/>
    </row>
    <row r="36" spans="1:9">
      <c r="A36" s="8"/>
      <c r="B36" s="9"/>
      <c r="C36" s="9"/>
      <c r="D36" s="9"/>
      <c r="E36" s="8"/>
      <c r="F36" s="8"/>
      <c r="G36" s="3"/>
      <c r="H36" s="3"/>
      <c r="I36" s="7"/>
    </row>
    <row r="37" spans="1:9">
      <c r="B37" s="5"/>
      <c r="C37" s="5"/>
      <c r="D37" s="5"/>
      <c r="F37" s="2"/>
      <c r="G37" s="3"/>
      <c r="H37" s="3"/>
      <c r="I37" s="7"/>
    </row>
    <row r="38" spans="1:9">
      <c r="B38" s="5"/>
      <c r="C38" s="5"/>
      <c r="D38" s="5"/>
      <c r="F38" s="2"/>
      <c r="G38" s="3"/>
      <c r="H38" s="3"/>
    </row>
    <row r="39" spans="1:9">
      <c r="B39" s="5"/>
      <c r="C39" s="5"/>
      <c r="D39" s="5"/>
      <c r="F39" s="2"/>
      <c r="G39" s="3"/>
      <c r="H39" s="3"/>
    </row>
    <row r="40" spans="1:9">
      <c r="B40" s="6"/>
      <c r="C40" s="5"/>
      <c r="D40" s="5"/>
      <c r="F40" s="2"/>
      <c r="G40" s="3"/>
      <c r="H40" s="3"/>
    </row>
    <row r="41" spans="1:9">
      <c r="B41" s="5"/>
      <c r="C41" s="5"/>
      <c r="D41" s="5"/>
      <c r="F41" s="2"/>
      <c r="G41" s="3"/>
      <c r="H41" s="3"/>
    </row>
    <row r="42" spans="1:9">
      <c r="B42" s="4"/>
      <c r="C42" s="4"/>
      <c r="D42" s="4"/>
      <c r="F42" s="2"/>
      <c r="G42" s="3"/>
      <c r="H42" s="3"/>
    </row>
    <row r="43" spans="1:9">
      <c r="B43" s="4"/>
      <c r="C43" s="4"/>
      <c r="D43" s="4"/>
      <c r="F43" s="2"/>
      <c r="G43" s="3"/>
      <c r="H43" s="3"/>
    </row>
    <row r="44" spans="1:9">
      <c r="B44" s="4"/>
      <c r="C44" s="4"/>
      <c r="D44" s="4"/>
      <c r="F44" s="2"/>
      <c r="G44" s="3"/>
      <c r="H44" s="3"/>
    </row>
    <row r="45" spans="1:9">
      <c r="B45" s="4"/>
      <c r="C45" s="4"/>
      <c r="D45" s="4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6:8">
      <c r="F49" s="2"/>
      <c r="G49" s="3"/>
      <c r="H49" s="3"/>
    </row>
    <row r="50" spans="6:8">
      <c r="F50" s="2"/>
      <c r="G50" s="3"/>
      <c r="H50" s="3"/>
    </row>
    <row r="51" spans="6:8">
      <c r="F51" s="2"/>
      <c r="G51" s="3"/>
      <c r="H51" s="3"/>
    </row>
    <row r="52" spans="6:8">
      <c r="F52" s="2"/>
      <c r="G52" s="3"/>
      <c r="H52" s="3"/>
    </row>
    <row r="53" spans="6:8">
      <c r="F53" s="2"/>
      <c r="G53" s="3"/>
      <c r="H53" s="3"/>
    </row>
    <row r="54" spans="6:8">
      <c r="F54" s="2"/>
      <c r="G54" s="3"/>
      <c r="H54" s="3"/>
    </row>
    <row r="55" spans="6:8">
      <c r="F55" s="2"/>
      <c r="G55" s="3"/>
      <c r="H55" s="3"/>
    </row>
    <row r="56" spans="6:8">
      <c r="F56" s="2"/>
      <c r="G56" s="3"/>
      <c r="H56" s="3"/>
    </row>
    <row r="57" spans="6:8">
      <c r="F57" s="2"/>
      <c r="G57" s="3"/>
      <c r="H57" s="3"/>
    </row>
    <row r="58" spans="6:8">
      <c r="F58" s="2"/>
      <c r="G58" s="3"/>
      <c r="H58" s="3"/>
    </row>
    <row r="59" spans="6:8">
      <c r="F59" s="2"/>
      <c r="G59" s="3"/>
      <c r="H59" s="3"/>
    </row>
    <row r="60" spans="6:8">
      <c r="F60" s="2"/>
      <c r="G60" s="3"/>
      <c r="H60" s="3"/>
    </row>
    <row r="61" spans="6:8">
      <c r="F61" s="2"/>
      <c r="G61" s="3"/>
      <c r="H61" s="3"/>
    </row>
    <row r="62" spans="6:8">
      <c r="F62" s="2"/>
      <c r="G62" s="3"/>
      <c r="H62" s="3"/>
    </row>
    <row r="63" spans="6:8">
      <c r="F63" s="2"/>
      <c r="G63" s="3"/>
      <c r="H63" s="3"/>
    </row>
    <row r="64" spans="6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</row>
    <row r="104" spans="6:8">
      <c r="F104" s="2"/>
    </row>
    <row r="105" spans="6:8">
      <c r="F105" s="2"/>
    </row>
    <row r="106" spans="6:8">
      <c r="F106" s="2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2011-08-24T12:04:18Z</dcterms:created>
  <dcterms:modified xsi:type="dcterms:W3CDTF">2011-08-24T12:04:31Z</dcterms:modified>
</cp:coreProperties>
</file>