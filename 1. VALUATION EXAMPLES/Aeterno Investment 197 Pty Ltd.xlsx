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F10"/>
  <c r="I10"/>
  <c r="G10" s="1"/>
  <c r="I14"/>
  <c r="I15"/>
  <c r="I17" s="1"/>
  <c r="I18" s="1"/>
  <c r="I19" s="1"/>
  <c r="I16"/>
  <c r="F17"/>
  <c r="F21"/>
  <c r="G21"/>
  <c r="I23"/>
  <c r="I25"/>
  <c r="I22" l="1"/>
  <c r="H21"/>
</calcChain>
</file>

<file path=xl/sharedStrings.xml><?xml version="1.0" encoding="utf-8"?>
<sst xmlns="http://schemas.openxmlformats.org/spreadsheetml/2006/main" count="34" uniqueCount="31">
  <si>
    <t>Open market assessment</t>
  </si>
  <si>
    <t xml:space="preserve">Rounded to 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</si>
  <si>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</si>
  <si>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</si>
  <si>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</si>
  <si>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</si>
  <si>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</si>
  <si>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</si>
  <si>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</si>
  <si>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</si>
  <si>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</si>
  <si>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</si>
  <si>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</si>
  <si>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</si>
  <si>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</si>
  <si>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</si>
  <si>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</si>
  <si>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Land</t>
  </si>
  <si>
    <t>Vacant Laand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</si>
  <si>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</si>
  <si>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</si>
  <si>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</si>
  <si>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</si>
  <si>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</si>
  <si>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</si>
  <si>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</si>
  <si>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</si>
  <si>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</si>
  <si>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</si>
  <si>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Aeterno Investment 197 Pty Ltd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</si>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</sst>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2" fillId="0" borderId="44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5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5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6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8" fillId="0" borderId="48" xfId="0" applyNumberFormat="1" applyFont="1" applyBorder="1"/>
    <xf numFmtId="14" fontId="9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0"/>
  <sheetViews>
    <sheetView tabSelected="1" workbookViewId="0">
      <selection activeCell="A18" sqref="A18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6.5703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30</v>
      </c>
      <c r="B1" s="131" t="s">
        <v>29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28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27</v>
      </c>
      <c r="B3" s="123" t="s">
        <v>26</v>
      </c>
      <c r="C3" s="123" t="s">
        <v>25</v>
      </c>
      <c r="D3" s="123" t="s">
        <v>24</v>
      </c>
      <c r="E3" s="123" t="s">
        <v>23</v>
      </c>
      <c r="F3" s="122" t="s">
        <v>22</v>
      </c>
      <c r="G3" s="121" t="s">
        <v>21</v>
      </c>
      <c r="H3" s="120" t="s">
        <v>20</v>
      </c>
      <c r="I3" s="119" t="s">
        <v>19</v>
      </c>
      <c r="J3" s="16"/>
    </row>
    <row r="4" spans="1:13" s="1" customFormat="1">
      <c r="A4" s="115" t="s">
        <v>18</v>
      </c>
      <c r="B4" s="118" t="s">
        <v>17</v>
      </c>
      <c r="C4" s="108"/>
      <c r="D4" s="108" t="s">
        <v>16</v>
      </c>
      <c r="E4" s="108" t="s">
        <v>16</v>
      </c>
      <c r="F4" s="117">
        <v>493767</v>
      </c>
      <c r="G4" s="112">
        <v>200</v>
      </c>
      <c r="H4" s="111"/>
      <c r="I4" s="104">
        <f>G4*F4</f>
        <v>98753400</v>
      </c>
      <c r="J4" s="16"/>
      <c r="L4" s="98"/>
      <c r="M4" s="97"/>
    </row>
    <row r="5" spans="1:13" s="1" customFormat="1">
      <c r="A5" s="115"/>
      <c r="B5" s="114"/>
      <c r="C5" s="108"/>
      <c r="D5" s="108"/>
      <c r="E5" s="108"/>
      <c r="F5" s="116"/>
      <c r="G5" s="112"/>
      <c r="H5" s="111"/>
      <c r="I5" s="104"/>
      <c r="J5" s="16"/>
      <c r="L5" s="98"/>
      <c r="M5" s="97"/>
    </row>
    <row r="6" spans="1:13" s="1" customFormat="1">
      <c r="A6" s="115"/>
      <c r="B6" s="114"/>
      <c r="C6" s="108"/>
      <c r="D6" s="108"/>
      <c r="E6" s="108"/>
      <c r="F6" s="116"/>
      <c r="G6" s="112"/>
      <c r="H6" s="111"/>
      <c r="I6" s="104"/>
      <c r="J6" s="16"/>
      <c r="L6" s="98"/>
      <c r="M6" s="97"/>
    </row>
    <row r="7" spans="1:13" s="1" customFormat="1">
      <c r="A7" s="115"/>
      <c r="B7" s="114"/>
      <c r="C7" s="108"/>
      <c r="D7" s="108"/>
      <c r="E7" s="108"/>
      <c r="F7" s="116"/>
      <c r="G7" s="112"/>
      <c r="H7" s="111"/>
      <c r="I7" s="104"/>
      <c r="J7" s="16"/>
      <c r="L7" s="98"/>
      <c r="M7" s="97"/>
    </row>
    <row r="8" spans="1:13" s="1" customFormat="1">
      <c r="A8" s="115"/>
      <c r="B8" s="114"/>
      <c r="C8" s="108"/>
      <c r="D8" s="108"/>
      <c r="E8" s="108"/>
      <c r="F8" s="113"/>
      <c r="G8" s="112"/>
      <c r="H8" s="111"/>
      <c r="I8" s="104"/>
      <c r="J8" s="16"/>
      <c r="K8" s="2"/>
      <c r="L8" s="98"/>
      <c r="M8" s="97"/>
    </row>
    <row r="9" spans="1:13" s="1" customFormat="1" ht="15.75" thickBot="1">
      <c r="A9" s="110"/>
      <c r="B9" s="109"/>
      <c r="C9" s="89"/>
      <c r="D9" s="108"/>
      <c r="E9" s="108"/>
      <c r="F9" s="107"/>
      <c r="G9" s="106"/>
      <c r="H9" s="105"/>
      <c r="I9" s="104"/>
      <c r="J9" s="16"/>
      <c r="L9" s="98"/>
      <c r="M9" s="97"/>
    </row>
    <row r="10" spans="1:13" s="1" customFormat="1">
      <c r="A10" s="103" t="s">
        <v>4</v>
      </c>
      <c r="B10" s="81"/>
      <c r="C10" s="102"/>
      <c r="D10" s="102"/>
      <c r="E10" s="102"/>
      <c r="F10" s="101">
        <f>SUM(F4:F9)</f>
        <v>493767</v>
      </c>
      <c r="G10" s="100">
        <f>I10/F10</f>
        <v>200</v>
      </c>
      <c r="H10" s="99">
        <v>0</v>
      </c>
      <c r="I10" s="99">
        <f>SUM(I4:I9)</f>
        <v>98753400</v>
      </c>
      <c r="J10" s="16"/>
      <c r="L10" s="98"/>
      <c r="M10" s="97"/>
    </row>
    <row r="11" spans="1:13" s="1" customFormat="1">
      <c r="A11" s="96"/>
      <c r="B11" s="95"/>
      <c r="C11" s="95"/>
      <c r="D11" s="95"/>
      <c r="E11" s="94"/>
      <c r="F11" s="93"/>
      <c r="G11" s="92"/>
      <c r="H11" s="78"/>
      <c r="I11" s="77"/>
      <c r="J11" s="16"/>
    </row>
    <row r="12" spans="1:13" s="1" customFormat="1">
      <c r="A12" s="91" t="s">
        <v>15</v>
      </c>
      <c r="B12" s="90"/>
      <c r="C12" s="90"/>
      <c r="D12" s="90"/>
      <c r="E12" s="89"/>
      <c r="F12" s="88" t="s">
        <v>14</v>
      </c>
      <c r="G12" s="87" t="s">
        <v>13</v>
      </c>
      <c r="H12" s="78"/>
      <c r="I12" s="77"/>
      <c r="J12" s="16"/>
    </row>
    <row r="13" spans="1:13" s="1" customFormat="1">
      <c r="A13" s="86"/>
      <c r="B13" s="85"/>
      <c r="C13" s="85"/>
      <c r="D13" s="85"/>
      <c r="E13" s="84"/>
      <c r="F13" s="80"/>
      <c r="G13" s="79"/>
      <c r="H13" s="78"/>
      <c r="I13" s="77"/>
      <c r="J13" s="16"/>
    </row>
    <row r="14" spans="1:13" s="1" customFormat="1">
      <c r="A14" s="86"/>
      <c r="B14" s="85"/>
      <c r="C14" s="85"/>
      <c r="D14" s="85"/>
      <c r="E14" s="84" t="s">
        <v>12</v>
      </c>
      <c r="F14" s="80"/>
      <c r="G14" s="79"/>
      <c r="H14" s="78"/>
      <c r="I14" s="77">
        <f>G14*F14</f>
        <v>0</v>
      </c>
      <c r="J14" s="16"/>
    </row>
    <row r="15" spans="1:13" s="1" customFormat="1">
      <c r="A15" s="86"/>
      <c r="B15" s="85"/>
      <c r="C15" s="85"/>
      <c r="D15" s="85"/>
      <c r="E15" s="84" t="s">
        <v>11</v>
      </c>
      <c r="F15" s="80"/>
      <c r="G15" s="79"/>
      <c r="H15" s="78"/>
      <c r="I15" s="77">
        <f>G15*F15</f>
        <v>0</v>
      </c>
      <c r="J15" s="16"/>
    </row>
    <row r="16" spans="1:13" s="1" customFormat="1">
      <c r="A16" s="83"/>
      <c r="B16" s="82"/>
      <c r="C16" s="82"/>
      <c r="D16" s="82"/>
      <c r="E16" s="81"/>
      <c r="F16" s="80"/>
      <c r="G16" s="79"/>
      <c r="H16" s="78"/>
      <c r="I16" s="77">
        <f>G16*F16</f>
        <v>0</v>
      </c>
      <c r="J16" s="16"/>
    </row>
    <row r="17" spans="1:15" s="1" customFormat="1" ht="15.75" thickBot="1">
      <c r="A17" s="76" t="s">
        <v>4</v>
      </c>
      <c r="B17" s="75"/>
      <c r="C17" s="75"/>
      <c r="D17" s="75"/>
      <c r="E17" s="74"/>
      <c r="F17" s="73">
        <f>SUM(F13:F16)</f>
        <v>0</v>
      </c>
      <c r="G17" s="72"/>
      <c r="H17" s="71"/>
      <c r="I17" s="70">
        <f>SUM(I13:I16)</f>
        <v>0</v>
      </c>
      <c r="J17" s="16"/>
    </row>
    <row r="18" spans="1:15" customFormat="1" ht="18.75" customHeight="1" thickBot="1">
      <c r="A18" s="69" t="s">
        <v>10</v>
      </c>
      <c r="B18" s="68"/>
      <c r="C18" s="68"/>
      <c r="D18" s="68"/>
      <c r="E18" s="67"/>
      <c r="F18" s="66"/>
      <c r="G18" s="65"/>
      <c r="H18" s="60"/>
      <c r="I18" s="58">
        <f>+I17+I10</f>
        <v>98753400</v>
      </c>
      <c r="J18" s="16"/>
      <c r="K18" s="1"/>
      <c r="L18" s="31"/>
      <c r="M18" s="1"/>
      <c r="N18" s="1"/>
      <c r="O18" s="1"/>
    </row>
    <row r="19" spans="1:15" customFormat="1" ht="18.75" customHeight="1" thickBot="1">
      <c r="A19" s="64" t="s">
        <v>9</v>
      </c>
      <c r="B19" s="63"/>
      <c r="C19" s="63"/>
      <c r="D19" s="63"/>
      <c r="E19" s="62"/>
      <c r="F19" s="61"/>
      <c r="G19" s="60"/>
      <c r="H19" s="59"/>
      <c r="I19" s="58">
        <f>+I18*12</f>
        <v>1185040800</v>
      </c>
      <c r="J19" s="16"/>
      <c r="K19" s="1"/>
      <c r="L19" s="1"/>
      <c r="M19" s="1"/>
      <c r="N19" s="1"/>
      <c r="O19" s="1"/>
    </row>
    <row r="20" spans="1:15" customFormat="1" ht="18.75" customHeight="1">
      <c r="A20" s="57" t="s">
        <v>8</v>
      </c>
      <c r="B20" s="56"/>
      <c r="C20" s="56"/>
      <c r="D20" s="56"/>
      <c r="E20" s="55" t="s">
        <v>7</v>
      </c>
      <c r="F20" s="55" t="s">
        <v>6</v>
      </c>
      <c r="G20" s="54" t="s">
        <v>5</v>
      </c>
      <c r="H20" s="53"/>
      <c r="I20" s="52"/>
      <c r="J20" s="16"/>
      <c r="K20" s="1"/>
      <c r="L20" s="1"/>
      <c r="M20" s="1"/>
      <c r="N20" s="1"/>
      <c r="O20" s="1"/>
    </row>
    <row r="21" spans="1:15" customFormat="1" ht="15.75" thickBot="1">
      <c r="A21" s="51" t="s">
        <v>4</v>
      </c>
      <c r="B21" s="50"/>
      <c r="C21" s="50"/>
      <c r="D21" s="50"/>
      <c r="E21" s="49">
        <v>5900</v>
      </c>
      <c r="F21" s="49">
        <f>E21*12</f>
        <v>70800</v>
      </c>
      <c r="G21" s="48">
        <f>E21/F10</f>
        <v>1.1948955681525902E-2</v>
      </c>
      <c r="H21" s="47">
        <f>F21/I19</f>
        <v>5.9744778407629508E-5</v>
      </c>
      <c r="I21" s="46"/>
      <c r="J21" s="16"/>
      <c r="K21" s="1"/>
      <c r="L21" s="31"/>
      <c r="M21" s="1"/>
      <c r="N21" s="1"/>
      <c r="O21" s="31"/>
    </row>
    <row r="22" spans="1:15" customFormat="1" ht="18.75" customHeight="1">
      <c r="A22" s="45" t="s">
        <v>3</v>
      </c>
      <c r="B22" s="44"/>
      <c r="C22" s="44"/>
      <c r="D22" s="44"/>
      <c r="E22" s="43"/>
      <c r="F22" s="42"/>
      <c r="G22" s="41"/>
      <c r="H22" s="40">
        <v>0</v>
      </c>
      <c r="I22" s="39">
        <f>+I19*-H22</f>
        <v>0</v>
      </c>
      <c r="J22" s="16"/>
      <c r="K22" s="1"/>
      <c r="L22" s="1"/>
      <c r="M22" s="1"/>
      <c r="N22" s="1"/>
      <c r="O22" s="31"/>
    </row>
    <row r="23" spans="1:15" customFormat="1" ht="18.75" customHeight="1">
      <c r="A23" s="38" t="s">
        <v>2</v>
      </c>
      <c r="B23" s="37"/>
      <c r="C23" s="37"/>
      <c r="D23" s="37"/>
      <c r="E23" s="36"/>
      <c r="F23" s="35"/>
      <c r="G23" s="34"/>
      <c r="H23" s="33"/>
      <c r="I23" s="32">
        <f>+I24/12</f>
        <v>8250000</v>
      </c>
      <c r="J23" s="16"/>
      <c r="K23" s="1"/>
      <c r="L23" s="1"/>
      <c r="M23" s="1"/>
      <c r="N23" s="1"/>
      <c r="O23" s="31"/>
    </row>
    <row r="24" spans="1:15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/>
      <c r="I24" s="29">
        <v>99000000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I24</f>
        <v>99000000</v>
      </c>
      <c r="J25" s="16"/>
      <c r="K25" s="1"/>
      <c r="L25" s="1"/>
      <c r="M25" s="1"/>
      <c r="N25" s="1"/>
      <c r="O25" s="1"/>
    </row>
    <row r="26" spans="1:15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K26" s="1"/>
      <c r="L26" s="15"/>
      <c r="M26" s="1"/>
      <c r="N26" s="1"/>
      <c r="O26" s="1"/>
    </row>
    <row r="27" spans="1:15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  <c r="J27" s="1"/>
      <c r="K27" s="1"/>
      <c r="L27" s="1"/>
      <c r="M27" s="1"/>
      <c r="N27" s="1"/>
      <c r="O27" s="1"/>
    </row>
    <row r="28" spans="1:15" customFormat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0"/>
      <c r="C29" s="10"/>
      <c r="D29" s="10"/>
      <c r="E29" s="9"/>
      <c r="F29" s="9"/>
      <c r="G29" s="4"/>
      <c r="H29" s="4"/>
      <c r="I29" s="8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0866141732283472" right="0.70866141732283472" top="0.74803149606299213" bottom="0.74803149606299213" header="0.31496062992125984" footer="0.31496062992125984"/>
  <pageSetup scale="70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2011-08-24T11:58:19Z</dcterms:created>
  <dcterms:modified xsi:type="dcterms:W3CDTF">2011-08-24T11:58:28Z</dcterms:modified>
</cp:coreProperties>
</file>