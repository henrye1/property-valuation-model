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00" yWindow="2910" windowWidth="15435" windowHeight="56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0" s="1"/>
  <c r="G10" s="1"/>
  <c r="I6"/>
  <c r="F10"/>
  <c r="I14"/>
  <c r="I15"/>
  <c r="I17" s="1"/>
  <c r="I16"/>
  <c r="F17"/>
  <c r="F21"/>
  <c r="G21"/>
  <c r="I18" l="1"/>
  <c r="I19" s="1"/>
  <c r="H21"/>
  <c r="I24" l="1"/>
  <c r="I22"/>
  <c r="I25" l="1"/>
  <c r="I26" s="1"/>
  <c r="I23"/>
</calcChain>
</file>

<file path=xl/sharedStrings.xml><?xml version="1.0" encoding="utf-8"?>
<sst xmlns="http://schemas.openxmlformats.org/spreadsheetml/2006/main" count="46" uniqueCount="34">
  <si>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</si>
  <si>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</si>
  <si>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</si>
  <si>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</si>
  <si>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</si>
  <si>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</si>
  <si>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</si>
  <si>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</si>
  <si>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</si>
  <si>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</si>
  <si>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</si>
  <si>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</si>
  <si>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</si>
  <si>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</si>
  <si>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</si>
  <si>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</si>
  <si>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</si>
  <si>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</si>
  <si>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Residential</t>
  </si>
  <si>
    <t>2 bedroom flats</t>
  </si>
  <si>
    <t>One Bedroom flats</t>
  </si>
  <si>
    <t>Batchelor Flats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</si>
  <si>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</si>
  <si>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</si>
  <si>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</si>
  <si>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</si>
  <si>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</si>
  <si>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</si>
  <si>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</si>
  <si>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</si>
  <si>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</si>
  <si>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</si>
  <si>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Charlotsville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</si>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</sst>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C7" sqref="C7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33</v>
      </c>
      <c r="B1" s="131" t="s">
        <v>32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31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30</v>
      </c>
      <c r="B3" s="123" t="s">
        <v>29</v>
      </c>
      <c r="C3" s="123" t="s">
        <v>28</v>
      </c>
      <c r="D3" s="123" t="s">
        <v>27</v>
      </c>
      <c r="E3" s="123" t="s">
        <v>26</v>
      </c>
      <c r="F3" s="122" t="s">
        <v>25</v>
      </c>
      <c r="G3" s="121" t="s">
        <v>24</v>
      </c>
      <c r="H3" s="120" t="s">
        <v>23</v>
      </c>
      <c r="I3" s="119" t="s">
        <v>22</v>
      </c>
      <c r="J3" s="16"/>
    </row>
    <row r="4" spans="1:13" s="1" customFormat="1">
      <c r="A4" s="116" t="s">
        <v>21</v>
      </c>
      <c r="B4" s="116" t="s">
        <v>18</v>
      </c>
      <c r="C4" s="109" t="s">
        <v>17</v>
      </c>
      <c r="D4" s="109" t="s">
        <v>17</v>
      </c>
      <c r="E4" s="109" t="s">
        <v>17</v>
      </c>
      <c r="F4" s="118">
        <v>10</v>
      </c>
      <c r="G4" s="113">
        <v>2400</v>
      </c>
      <c r="H4" s="112"/>
      <c r="I4" s="105">
        <f>G4*F4</f>
        <v>24000</v>
      </c>
      <c r="J4" s="16"/>
      <c r="L4" s="99"/>
      <c r="M4" s="98"/>
    </row>
    <row r="5" spans="1:13" s="1" customFormat="1">
      <c r="A5" s="116" t="s">
        <v>20</v>
      </c>
      <c r="B5" s="116" t="s">
        <v>18</v>
      </c>
      <c r="C5" s="109" t="s">
        <v>17</v>
      </c>
      <c r="D5" s="109" t="s">
        <v>17</v>
      </c>
      <c r="E5" s="109" t="s">
        <v>17</v>
      </c>
      <c r="F5" s="117">
        <v>8</v>
      </c>
      <c r="G5" s="113">
        <v>2800</v>
      </c>
      <c r="H5" s="112"/>
      <c r="I5" s="105">
        <f>G5*F5</f>
        <v>22400</v>
      </c>
      <c r="J5" s="16"/>
      <c r="L5" s="99"/>
      <c r="M5" s="98"/>
    </row>
    <row r="6" spans="1:13" s="1" customFormat="1">
      <c r="A6" s="116" t="s">
        <v>19</v>
      </c>
      <c r="B6" s="116" t="s">
        <v>18</v>
      </c>
      <c r="C6" s="109" t="s">
        <v>17</v>
      </c>
      <c r="D6" s="109" t="s">
        <v>17</v>
      </c>
      <c r="E6" s="109" t="s">
        <v>17</v>
      </c>
      <c r="F6" s="117">
        <v>1</v>
      </c>
      <c r="G6" s="113">
        <v>2850</v>
      </c>
      <c r="H6" s="112"/>
      <c r="I6" s="105">
        <f>G6*F6</f>
        <v>2850</v>
      </c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19</v>
      </c>
      <c r="G10" s="101">
        <f>I10/F10</f>
        <v>2592.1052631578946</v>
      </c>
      <c r="H10" s="100">
        <v>0</v>
      </c>
      <c r="I10" s="100">
        <f>SUM(I4:I9)</f>
        <v>49250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49250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591000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v>10000</v>
      </c>
      <c r="F21" s="50">
        <f>E21*12</f>
        <v>120000</v>
      </c>
      <c r="G21" s="49">
        <f>E21/F10</f>
        <v>526.31578947368416</v>
      </c>
      <c r="H21" s="48">
        <f>F21/I19</f>
        <v>0.20304568527918782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-17730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37772.5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453270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0.11</v>
      </c>
      <c r="I25" s="29">
        <f>+I24/H25</f>
        <v>4120636.3636363638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4120000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2011-08-24T12:20:26Z</dcterms:created>
  <dcterms:modified xsi:type="dcterms:W3CDTF">2011-08-24T12:21:38Z</dcterms:modified>
</cp:coreProperties>
</file>