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45" windowWidth="22995" windowHeight="10035"/>
  </bookViews>
  <sheets>
    <sheet name="sheet1" sheetId="1" r:id="rId1"/>
  </sheets>
  <calcPr calcId="144525"/>
</workbook>
</file>

<file path=xl/calcChain.xml><?xml version="1.0" encoding="utf-8"?>
<calcChain xmlns="http://schemas.openxmlformats.org/spreadsheetml/2006/main">
  <c r="I4" i="1" l="1"/>
  <c r="I9" i="1" s="1"/>
  <c r="G9" i="1" s="1"/>
  <c r="I14" i="1"/>
  <c r="I16" i="1" s="1"/>
  <c r="I17" i="1" s="1"/>
  <c r="I18" i="1" s="1"/>
  <c r="I15" i="1"/>
  <c r="F16" i="1"/>
  <c r="F20" i="1"/>
  <c r="G20" i="1"/>
  <c r="H20" i="1" l="1"/>
  <c r="I21" i="1"/>
  <c r="I23" i="1" s="1"/>
  <c r="I22" i="1" l="1"/>
  <c r="I24" i="1"/>
  <c r="I25" i="1" s="1"/>
  <c r="I26" i="1" s="1"/>
</calcChain>
</file>

<file path=xl/sharedStrings.xml><?xml version="1.0" encoding="utf-8"?>
<sst xmlns="http://schemas.openxmlformats.org/spreadsheetml/2006/main" count="37" uniqueCount="32">
  <si>
    <t>Open market assessment</t>
  </si>
  <si>
    <t>Capitalised @</t>
  </si>
  <si>
    <t>Annual net income</t>
  </si>
  <si>
    <t>Monthly net income</t>
  </si>
  <si>
    <t>Vacancy allowance</t>
  </si>
  <si>
    <t>Sub total</t>
  </si>
  <si>
    <r>
      <t>R/m</t>
    </r>
    <r>
      <rPr>
        <b/>
        <vertAlign val="superscript"/>
        <sz val="11"/>
        <rFont val="Arial"/>
        <family val="2"/>
      </rPr>
      <t>2</t>
    </r>
    <r>
      <rPr>
        <b/>
        <sz val="11"/>
        <rFont val="Arial"/>
        <family val="2"/>
      </rPr>
      <t>/pm</t>
    </r>
  </si>
  <si>
    <t>Annual</t>
  </si>
  <si>
    <t>Monthly</t>
  </si>
  <si>
    <t>Operating expenses</t>
  </si>
  <si>
    <t>Gross annual income</t>
  </si>
  <si>
    <t>Gross monthly income</t>
  </si>
  <si>
    <t>Covered</t>
  </si>
  <si>
    <t>R/bay</t>
  </si>
  <si>
    <t>No. bays</t>
  </si>
  <si>
    <t>Parking</t>
  </si>
  <si>
    <t xml:space="preserve"> </t>
  </si>
  <si>
    <t>1669</t>
  </si>
  <si>
    <t>Offices / House</t>
  </si>
  <si>
    <t>Offices and House</t>
  </si>
  <si>
    <t>Gross monthly rent</t>
  </si>
  <si>
    <r>
      <t>Monthly operating expenses (R/m</t>
    </r>
    <r>
      <rPr>
        <b/>
        <vertAlign val="superscript"/>
        <sz val="11"/>
        <rFont val="Arial"/>
        <family val="2"/>
      </rPr>
      <t>2</t>
    </r>
    <r>
      <rPr>
        <b/>
        <sz val="11"/>
        <rFont val="Arial"/>
        <family val="2"/>
      </rPr>
      <t>/pm)</t>
    </r>
  </si>
  <si>
    <r>
      <t>Gross/Net rent per month (R/m</t>
    </r>
    <r>
      <rPr>
        <b/>
        <vertAlign val="superscript"/>
        <sz val="11"/>
        <rFont val="Arial"/>
        <family val="2"/>
      </rPr>
      <t>2</t>
    </r>
    <r>
      <rPr>
        <b/>
        <sz val="11"/>
        <rFont val="Arial"/>
        <family val="2"/>
      </rPr>
      <t>/pm)</t>
    </r>
  </si>
  <si>
    <t>Rentable area</t>
  </si>
  <si>
    <t>Lease expiry date</t>
  </si>
  <si>
    <t>Lease period</t>
  </si>
  <si>
    <t>Annual escalation</t>
  </si>
  <si>
    <t>Description</t>
  </si>
  <si>
    <t>Tenant</t>
  </si>
  <si>
    <t>Date</t>
  </si>
  <si>
    <t>660 Property Trust</t>
  </si>
  <si>
    <t xml:space="preserve">Building name 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</si>
</sst>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64" formatCode="&quot;R&quot;#,##0.00_);\(&quot;R&quot;#,##0.00\)"/>
    <numFmt numFmtId="165" formatCode="&quot;R&quot;\ #,##0"/>
    <numFmt numFmtId="166" formatCode="&quot;R&quot;#,##0_);\(&quot;R&quot;#,##0\)"/>
    <numFmt numFmtId="167" formatCode="\R#,##0.00"/>
    <numFmt numFmtId="168" formatCode="&quot;R&quot;\ #,##0.00"/>
  </numFmts>
  <fonts count="10" x14ac:knownFonts="1">
    <font>
      <sz val="10"/>
      <name val="Arial"/>
    </font>
    <font>
      <sz val="10"/>
      <name val="Arial"/>
    </font>
    <font>
      <sz val="10"/>
      <name val="Arial"/>
      <family val="2"/>
    </font>
    <font>
      <sz val="11"/>
      <name val="Arial"/>
      <family val="2"/>
    </font>
    <font>
      <sz val="9"/>
      <color rgb="FFFFC000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b/>
      <vertAlign val="superscript"/>
      <sz val="11"/>
      <name val="Arial"/>
      <family val="2"/>
    </font>
    <font>
      <b/>
      <sz val="11"/>
      <color indexed="62"/>
      <name val="Arial"/>
      <family val="2"/>
    </font>
    <font>
      <b/>
      <sz val="10"/>
      <color indexed="6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indexed="47"/>
        <bgColor indexed="22"/>
      </patternFill>
    </fill>
    <fill>
      <patternFill patternType="solid">
        <fgColor indexed="47"/>
        <bgColor indexed="64"/>
      </patternFill>
    </fill>
    <fill>
      <patternFill patternType="solid">
        <fgColor rgb="FFFFFF00"/>
        <bgColor indexed="64"/>
      </patternFill>
    </fill>
  </fills>
  <borders count="49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double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1">
    <xf numFmtId="0" fontId="0" fillId="0" borderId="0" xfId="0"/>
    <xf numFmtId="14" fontId="0" fillId="0" borderId="0" xfId="0" applyNumberFormat="1"/>
    <xf numFmtId="14" fontId="2" fillId="0" borderId="0" xfId="0" applyNumberFormat="1" applyFon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horizontal="right"/>
    </xf>
    <xf numFmtId="10" fontId="0" fillId="0" borderId="0" xfId="1" applyNumberFormat="1" applyFont="1" applyAlignment="1">
      <alignment horizontal="right"/>
    </xf>
    <xf numFmtId="166" fontId="0" fillId="0" borderId="0" xfId="0" applyNumberFormat="1"/>
    <xf numFmtId="49" fontId="0" fillId="0" borderId="0" xfId="0" applyNumberFormat="1" applyAlignment="1">
      <alignment horizontal="left" wrapText="1"/>
    </xf>
    <xf numFmtId="165" fontId="0" fillId="0" borderId="0" xfId="0" applyNumberFormat="1" applyAlignment="1">
      <alignment horizontal="right" wrapText="1"/>
    </xf>
    <xf numFmtId="49" fontId="2" fillId="0" borderId="0" xfId="0" applyNumberFormat="1" applyFont="1" applyAlignment="1">
      <alignment horizontal="left" wrapText="1"/>
    </xf>
    <xf numFmtId="166" fontId="3" fillId="0" borderId="0" xfId="0" applyNumberFormat="1" applyFont="1"/>
    <xf numFmtId="164" fontId="3" fillId="0" borderId="0" xfId="0" applyNumberFormat="1" applyFont="1"/>
    <xf numFmtId="49" fontId="3" fillId="0" borderId="0" xfId="0" applyNumberFormat="1" applyFont="1" applyAlignment="1">
      <alignment horizontal="left" wrapText="1"/>
    </xf>
    <xf numFmtId="167" fontId="4" fillId="2" borderId="1" xfId="0" applyNumberFormat="1" applyFont="1" applyFill="1" applyBorder="1" applyAlignment="1">
      <alignment horizontal="right"/>
    </xf>
    <xf numFmtId="14" fontId="0" fillId="0" borderId="0" xfId="0" applyNumberFormat="1" applyBorder="1"/>
    <xf numFmtId="9" fontId="5" fillId="0" borderId="2" xfId="0" applyNumberFormat="1" applyFont="1" applyBorder="1"/>
    <xf numFmtId="10" fontId="5" fillId="3" borderId="3" xfId="1" applyNumberFormat="1" applyFont="1" applyFill="1" applyBorder="1"/>
    <xf numFmtId="9" fontId="5" fillId="0" borderId="4" xfId="1" applyFont="1" applyBorder="1"/>
    <xf numFmtId="49" fontId="5" fillId="0" borderId="4" xfId="0" applyNumberFormat="1" applyFont="1" applyBorder="1" applyAlignment="1">
      <alignment horizontal="left" wrapText="1"/>
    </xf>
    <xf numFmtId="49" fontId="3" fillId="0" borderId="4" xfId="0" applyNumberFormat="1" applyFont="1" applyBorder="1" applyAlignment="1">
      <alignment horizontal="left" wrapText="1"/>
    </xf>
    <xf numFmtId="49" fontId="6" fillId="0" borderId="5" xfId="0" applyNumberFormat="1" applyFont="1" applyBorder="1" applyAlignment="1">
      <alignment wrapText="1"/>
    </xf>
    <xf numFmtId="166" fontId="5" fillId="0" borderId="6" xfId="0" applyNumberFormat="1" applyFont="1" applyBorder="1"/>
    <xf numFmtId="10" fontId="5" fillId="3" borderId="7" xfId="1" applyNumberFormat="1" applyFont="1" applyFill="1" applyBorder="1"/>
    <xf numFmtId="164" fontId="5" fillId="0" borderId="8" xfId="0" applyNumberFormat="1" applyFont="1" applyBorder="1"/>
    <xf numFmtId="49" fontId="5" fillId="0" borderId="8" xfId="0" applyNumberFormat="1" applyFont="1" applyBorder="1" applyAlignment="1">
      <alignment horizontal="left" wrapText="1"/>
    </xf>
    <xf numFmtId="49" fontId="3" fillId="0" borderId="8" xfId="0" applyNumberFormat="1" applyFont="1" applyBorder="1" applyAlignment="1">
      <alignment horizontal="left" wrapText="1"/>
    </xf>
    <xf numFmtId="49" fontId="6" fillId="0" borderId="9" xfId="0" applyNumberFormat="1" applyFont="1" applyBorder="1" applyAlignment="1">
      <alignment horizontal="left" wrapText="1"/>
    </xf>
    <xf numFmtId="166" fontId="3" fillId="0" borderId="6" xfId="0" applyNumberFormat="1" applyFont="1" applyBorder="1"/>
    <xf numFmtId="9" fontId="3" fillId="0" borderId="8" xfId="1" applyFont="1" applyBorder="1"/>
    <xf numFmtId="164" fontId="3" fillId="0" borderId="8" xfId="0" applyNumberFormat="1" applyFont="1" applyBorder="1"/>
    <xf numFmtId="166" fontId="3" fillId="0" borderId="10" xfId="0" applyNumberFormat="1" applyFont="1" applyBorder="1"/>
    <xf numFmtId="10" fontId="5" fillId="3" borderId="11" xfId="1" applyNumberFormat="1" applyFont="1" applyFill="1" applyBorder="1"/>
    <xf numFmtId="9" fontId="3" fillId="0" borderId="12" xfId="1" applyFont="1" applyBorder="1"/>
    <xf numFmtId="49" fontId="3" fillId="0" borderId="12" xfId="0" applyNumberFormat="1" applyFont="1" applyBorder="1" applyAlignment="1">
      <alignment wrapText="1"/>
    </xf>
    <xf numFmtId="49" fontId="3" fillId="0" borderId="12" xfId="0" applyNumberFormat="1" applyFont="1" applyBorder="1" applyAlignment="1">
      <alignment horizontal="left" wrapText="1"/>
    </xf>
    <xf numFmtId="49" fontId="5" fillId="0" borderId="12" xfId="0" applyNumberFormat="1" applyFont="1" applyBorder="1" applyAlignment="1">
      <alignment horizontal="left" wrapText="1"/>
    </xf>
    <xf numFmtId="49" fontId="6" fillId="0" borderId="13" xfId="0" applyNumberFormat="1" applyFont="1" applyBorder="1" applyAlignment="1">
      <alignment horizontal="left" wrapText="1"/>
    </xf>
    <xf numFmtId="166" fontId="3" fillId="0" borderId="14" xfId="0" applyNumberFormat="1" applyFont="1" applyBorder="1"/>
    <xf numFmtId="10" fontId="5" fillId="3" borderId="15" xfId="1" applyNumberFormat="1" applyFont="1" applyFill="1" applyBorder="1"/>
    <xf numFmtId="9" fontId="3" fillId="0" borderId="16" xfId="1" applyFont="1" applyBorder="1"/>
    <xf numFmtId="49" fontId="3" fillId="0" borderId="16" xfId="0" applyNumberFormat="1" applyFont="1" applyBorder="1" applyAlignment="1">
      <alignment wrapText="1"/>
    </xf>
    <xf numFmtId="49" fontId="3" fillId="0" borderId="16" xfId="0" applyNumberFormat="1" applyFont="1" applyBorder="1" applyAlignment="1">
      <alignment horizontal="left" wrapText="1"/>
    </xf>
    <xf numFmtId="49" fontId="5" fillId="0" borderId="16" xfId="0" applyNumberFormat="1" applyFont="1" applyBorder="1" applyAlignment="1">
      <alignment horizontal="left" wrapText="1"/>
    </xf>
    <xf numFmtId="49" fontId="6" fillId="0" borderId="17" xfId="0" applyNumberFormat="1" applyFont="1" applyBorder="1" applyAlignment="1">
      <alignment horizontal="left" wrapText="1"/>
    </xf>
    <xf numFmtId="166" fontId="3" fillId="0" borderId="18" xfId="0" applyNumberFormat="1" applyFont="1" applyBorder="1"/>
    <xf numFmtId="10" fontId="3" fillId="0" borderId="19" xfId="1" applyNumberFormat="1" applyFont="1" applyBorder="1"/>
    <xf numFmtId="168" fontId="3" fillId="0" borderId="20" xfId="0" applyNumberFormat="1" applyFont="1" applyBorder="1" applyAlignment="1">
      <alignment horizontal="right" wrapText="1"/>
    </xf>
    <xf numFmtId="165" fontId="3" fillId="4" borderId="20" xfId="0" applyNumberFormat="1" applyFont="1" applyFill="1" applyBorder="1" applyAlignment="1">
      <alignment horizontal="right" wrapText="1"/>
    </xf>
    <xf numFmtId="49" fontId="3" fillId="0" borderId="21" xfId="0" applyNumberFormat="1" applyFont="1" applyBorder="1" applyAlignment="1">
      <alignment horizontal="left" wrapText="1"/>
    </xf>
    <xf numFmtId="49" fontId="2" fillId="0" borderId="22" xfId="0" applyNumberFormat="1" applyFont="1" applyBorder="1" applyAlignment="1">
      <alignment horizontal="left" wrapText="1"/>
    </xf>
    <xf numFmtId="166" fontId="3" fillId="0" borderId="23" xfId="0" applyNumberFormat="1" applyFont="1" applyBorder="1"/>
    <xf numFmtId="164" fontId="3" fillId="0" borderId="24" xfId="0" applyNumberFormat="1" applyFont="1" applyBorder="1"/>
    <xf numFmtId="10" fontId="5" fillId="0" borderId="25" xfId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 wrapText="1"/>
    </xf>
    <xf numFmtId="49" fontId="5" fillId="0" borderId="26" xfId="0" applyNumberFormat="1" applyFont="1" applyBorder="1" applyAlignment="1">
      <alignment horizontal="left" wrapText="1"/>
    </xf>
    <xf numFmtId="49" fontId="6" fillId="0" borderId="27" xfId="0" applyNumberFormat="1" applyFont="1" applyBorder="1" applyAlignment="1">
      <alignment horizontal="left" wrapText="1"/>
    </xf>
    <xf numFmtId="166" fontId="5" fillId="0" borderId="28" xfId="0" applyNumberFormat="1" applyFont="1" applyBorder="1"/>
    <xf numFmtId="14" fontId="5" fillId="0" borderId="29" xfId="0" applyNumberFormat="1" applyFont="1" applyBorder="1"/>
    <xf numFmtId="164" fontId="5" fillId="0" borderId="29" xfId="0" applyNumberFormat="1" applyFont="1" applyBorder="1"/>
    <xf numFmtId="49" fontId="5" fillId="0" borderId="30" xfId="0" applyNumberFormat="1" applyFont="1" applyBorder="1" applyAlignment="1">
      <alignment horizontal="centerContinuous" wrapText="1"/>
    </xf>
    <xf numFmtId="49" fontId="5" fillId="0" borderId="30" xfId="0" applyNumberFormat="1" applyFont="1" applyBorder="1" applyAlignment="1">
      <alignment horizontal="left" wrapText="1"/>
    </xf>
    <xf numFmtId="14" fontId="5" fillId="0" borderId="30" xfId="0" applyNumberFormat="1" applyFont="1" applyBorder="1"/>
    <xf numFmtId="14" fontId="6" fillId="0" borderId="31" xfId="0" applyNumberFormat="1" applyFont="1" applyBorder="1"/>
    <xf numFmtId="164" fontId="5" fillId="0" borderId="32" xfId="0" applyNumberFormat="1" applyFont="1" applyBorder="1"/>
    <xf numFmtId="1" fontId="5" fillId="0" borderId="29" xfId="0" applyNumberFormat="1" applyFont="1" applyBorder="1"/>
    <xf numFmtId="49" fontId="5" fillId="0" borderId="32" xfId="0" applyNumberFormat="1" applyFont="1" applyBorder="1" applyAlignment="1">
      <alignment horizontal="left" wrapText="1"/>
    </xf>
    <xf numFmtId="49" fontId="5" fillId="0" borderId="29" xfId="0" applyNumberFormat="1" applyFont="1" applyBorder="1" applyAlignment="1">
      <alignment horizontal="left" wrapText="1"/>
    </xf>
    <xf numFmtId="49" fontId="6" fillId="0" borderId="33" xfId="0" applyNumberFormat="1" applyFont="1" applyBorder="1" applyAlignment="1">
      <alignment horizontal="left" wrapText="1"/>
    </xf>
    <xf numFmtId="166" fontId="5" fillId="5" borderId="28" xfId="0" applyNumberFormat="1" applyFont="1" applyFill="1" applyBorder="1"/>
    <xf numFmtId="164" fontId="5" fillId="5" borderId="29" xfId="0" applyNumberFormat="1" applyFont="1" applyFill="1" applyBorder="1"/>
    <xf numFmtId="164" fontId="5" fillId="5" borderId="32" xfId="0" applyNumberFormat="1" applyFont="1" applyFill="1" applyBorder="1"/>
    <xf numFmtId="1" fontId="5" fillId="5" borderId="29" xfId="0" applyNumberFormat="1" applyFont="1" applyFill="1" applyBorder="1"/>
    <xf numFmtId="49" fontId="5" fillId="5" borderId="32" xfId="0" applyNumberFormat="1" applyFont="1" applyFill="1" applyBorder="1" applyAlignment="1">
      <alignment horizontal="left" wrapText="1"/>
    </xf>
    <xf numFmtId="49" fontId="3" fillId="0" borderId="29" xfId="0" applyNumberFormat="1" applyFont="1" applyBorder="1" applyAlignment="1">
      <alignment horizontal="left" wrapText="1"/>
    </xf>
    <xf numFmtId="49" fontId="2" fillId="0" borderId="33" xfId="0" applyNumberFormat="1" applyFont="1" applyBorder="1" applyAlignment="1">
      <alignment horizontal="left" wrapText="1"/>
    </xf>
    <xf numFmtId="166" fontId="3" fillId="0" borderId="34" xfId="0" applyNumberFormat="1" applyFont="1" applyBorder="1"/>
    <xf numFmtId="164" fontId="3" fillId="0" borderId="0" xfId="0" applyNumberFormat="1" applyFont="1" applyBorder="1"/>
    <xf numFmtId="164" fontId="3" fillId="0" borderId="35" xfId="0" applyNumberFormat="1" applyFont="1" applyBorder="1"/>
    <xf numFmtId="1" fontId="3" fillId="0" borderId="0" xfId="0" applyNumberFormat="1" applyFont="1" applyBorder="1"/>
    <xf numFmtId="49" fontId="3" fillId="0" borderId="36" xfId="0" applyNumberFormat="1" applyFont="1" applyBorder="1" applyAlignment="1">
      <alignment horizontal="left" wrapText="1"/>
    </xf>
    <xf numFmtId="49" fontId="3" fillId="0" borderId="37" xfId="0" applyNumberFormat="1" applyFont="1" applyBorder="1" applyAlignment="1">
      <alignment horizontal="right" wrapText="1"/>
    </xf>
    <xf numFmtId="49" fontId="2" fillId="0" borderId="38" xfId="0" applyNumberFormat="1" applyFont="1" applyBorder="1" applyAlignment="1">
      <alignment horizontal="right" wrapText="1"/>
    </xf>
    <xf numFmtId="49" fontId="3" fillId="0" borderId="35" xfId="0" applyNumberFormat="1" applyFont="1" applyBorder="1" applyAlignment="1">
      <alignment horizontal="left" wrapText="1"/>
    </xf>
    <xf numFmtId="49" fontId="3" fillId="0" borderId="0" xfId="0" applyNumberFormat="1" applyFont="1" applyBorder="1" applyAlignment="1">
      <alignment horizontal="right" wrapText="1"/>
    </xf>
    <xf numFmtId="49" fontId="2" fillId="0" borderId="39" xfId="0" applyNumberFormat="1" applyFont="1" applyBorder="1" applyAlignment="1">
      <alignment horizontal="right" wrapText="1"/>
    </xf>
    <xf numFmtId="164" fontId="5" fillId="0" borderId="36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49" fontId="3" fillId="0" borderId="36" xfId="0" applyNumberFormat="1" applyFont="1" applyBorder="1" applyAlignment="1">
      <alignment horizontal="center" wrapText="1"/>
    </xf>
    <xf numFmtId="49" fontId="5" fillId="0" borderId="37" xfId="0" applyNumberFormat="1" applyFont="1" applyBorder="1" applyAlignment="1">
      <alignment horizontal="center" wrapText="1"/>
    </xf>
    <xf numFmtId="49" fontId="6" fillId="0" borderId="38" xfId="0" applyNumberFormat="1" applyFont="1" applyBorder="1" applyAlignment="1">
      <alignment horizontal="center" wrapText="1"/>
    </xf>
    <xf numFmtId="164" fontId="3" fillId="4" borderId="40" xfId="0" applyNumberFormat="1" applyFont="1" applyFill="1" applyBorder="1"/>
    <xf numFmtId="1" fontId="3" fillId="4" borderId="41" xfId="0" applyNumberFormat="1" applyFont="1" applyFill="1" applyBorder="1"/>
    <xf numFmtId="49" fontId="3" fillId="4" borderId="40" xfId="0" applyNumberFormat="1" applyFont="1" applyFill="1" applyBorder="1" applyAlignment="1">
      <alignment horizontal="left" wrapText="1"/>
    </xf>
    <xf numFmtId="49" fontId="3" fillId="4" borderId="41" xfId="0" applyNumberFormat="1" applyFont="1" applyFill="1" applyBorder="1" applyAlignment="1">
      <alignment horizontal="left" wrapText="1"/>
    </xf>
    <xf numFmtId="49" fontId="2" fillId="4" borderId="42" xfId="0" applyNumberFormat="1" applyFont="1" applyFill="1" applyBorder="1" applyAlignment="1">
      <alignment horizontal="left" wrapText="1"/>
    </xf>
    <xf numFmtId="0" fontId="2" fillId="0" borderId="0" xfId="0" applyNumberFormat="1" applyFont="1"/>
    <xf numFmtId="43" fontId="0" fillId="0" borderId="0" xfId="0" applyNumberFormat="1"/>
    <xf numFmtId="165" fontId="3" fillId="0" borderId="43" xfId="0" applyNumberFormat="1" applyFont="1" applyBorder="1"/>
    <xf numFmtId="4" fontId="3" fillId="0" borderId="35" xfId="0" applyNumberFormat="1" applyFont="1" applyBorder="1"/>
    <xf numFmtId="3" fontId="3" fillId="0" borderId="41" xfId="0" applyNumberFormat="1" applyFont="1" applyBorder="1"/>
    <xf numFmtId="49" fontId="3" fillId="0" borderId="40" xfId="0" applyNumberFormat="1" applyFont="1" applyBorder="1" applyAlignment="1">
      <alignment horizontal="left" wrapText="1"/>
    </xf>
    <xf numFmtId="49" fontId="2" fillId="0" borderId="42" xfId="0" applyNumberFormat="1" applyFont="1" applyBorder="1" applyAlignment="1">
      <alignment horizontal="left" wrapText="1"/>
    </xf>
    <xf numFmtId="4" fontId="3" fillId="0" borderId="37" xfId="0" applyNumberFormat="1" applyFont="1" applyBorder="1"/>
    <xf numFmtId="4" fontId="3" fillId="0" borderId="36" xfId="0" applyNumberFormat="1" applyFont="1" applyBorder="1"/>
    <xf numFmtId="3" fontId="3" fillId="0" borderId="37" xfId="0" applyNumberFormat="1" applyFont="1" applyBorder="1"/>
    <xf numFmtId="49" fontId="3" fillId="0" borderId="35" xfId="0" applyNumberFormat="1" applyFont="1" applyBorder="1" applyAlignment="1">
      <alignment horizontal="center" wrapText="1"/>
    </xf>
    <xf numFmtId="49" fontId="2" fillId="0" borderId="38" xfId="0" applyNumberFormat="1" applyFont="1" applyBorder="1" applyAlignment="1">
      <alignment horizontal="left" wrapText="1"/>
    </xf>
    <xf numFmtId="166" fontId="2" fillId="0" borderId="34" xfId="0" applyNumberFormat="1" applyFont="1" applyBorder="1"/>
    <xf numFmtId="4" fontId="2" fillId="0" borderId="0" xfId="0" applyNumberFormat="1" applyFont="1" applyBorder="1"/>
    <xf numFmtId="4" fontId="2" fillId="0" borderId="35" xfId="0" applyNumberFormat="1" applyFont="1" applyBorder="1"/>
    <xf numFmtId="3" fontId="2" fillId="0" borderId="0" xfId="0" applyNumberFormat="1" applyFont="1" applyBorder="1"/>
    <xf numFmtId="49" fontId="2" fillId="0" borderId="35" xfId="0" applyNumberFormat="1" applyFont="1" applyBorder="1" applyAlignment="1">
      <alignment horizontal="center" wrapText="1"/>
    </xf>
    <xf numFmtId="49" fontId="2" fillId="0" borderId="35" xfId="0" applyNumberFormat="1" applyFont="1" applyBorder="1" applyAlignment="1">
      <alignment horizontal="left" wrapText="1"/>
    </xf>
    <xf numFmtId="49" fontId="2" fillId="0" borderId="39" xfId="0" applyNumberFormat="1" applyFont="1" applyBorder="1" applyAlignment="1">
      <alignment horizontal="left" wrapText="1"/>
    </xf>
    <xf numFmtId="49" fontId="2" fillId="0" borderId="0" xfId="0" applyNumberFormat="1" applyFont="1" applyBorder="1" applyAlignment="1">
      <alignment horizontal="center" wrapText="1"/>
    </xf>
    <xf numFmtId="49" fontId="5" fillId="0" borderId="28" xfId="0" applyNumberFormat="1" applyFont="1" applyBorder="1" applyAlignment="1">
      <alignment horizontal="center" wrapText="1"/>
    </xf>
    <xf numFmtId="49" fontId="5" fillId="0" borderId="29" xfId="0" applyNumberFormat="1" applyFont="1" applyBorder="1" applyAlignment="1">
      <alignment wrapText="1"/>
    </xf>
    <xf numFmtId="49" fontId="5" fillId="0" borderId="44" xfId="0" applyNumberFormat="1" applyFont="1" applyBorder="1" applyAlignment="1">
      <alignment horizontal="center" wrapText="1"/>
    </xf>
    <xf numFmtId="14" fontId="5" fillId="0" borderId="29" xfId="0" applyNumberFormat="1" applyFont="1" applyBorder="1" applyAlignment="1">
      <alignment horizontal="center" wrapText="1"/>
    </xf>
    <xf numFmtId="14" fontId="5" fillId="0" borderId="44" xfId="0" applyNumberFormat="1" applyFont="1" applyBorder="1" applyAlignment="1">
      <alignment horizontal="center" wrapText="1"/>
    </xf>
    <xf numFmtId="14" fontId="6" fillId="0" borderId="33" xfId="0" applyNumberFormat="1" applyFont="1" applyBorder="1" applyAlignment="1">
      <alignment horizontal="center"/>
    </xf>
    <xf numFmtId="14" fontId="3" fillId="0" borderId="45" xfId="0" applyNumberFormat="1" applyFont="1" applyBorder="1"/>
    <xf numFmtId="14" fontId="3" fillId="0" borderId="29" xfId="0" applyNumberFormat="1" applyFont="1" applyBorder="1"/>
    <xf numFmtId="15" fontId="3" fillId="0" borderId="29" xfId="0" applyNumberFormat="1" applyFont="1" applyBorder="1"/>
    <xf numFmtId="14" fontId="2" fillId="0" borderId="33" xfId="0" applyNumberFormat="1" applyFont="1" applyBorder="1"/>
    <xf numFmtId="14" fontId="3" fillId="0" borderId="46" xfId="0" applyNumberFormat="1" applyFont="1" applyBorder="1"/>
    <xf numFmtId="14" fontId="3" fillId="0" borderId="47" xfId="0" applyNumberFormat="1" applyFont="1" applyBorder="1"/>
    <xf numFmtId="14" fontId="8" fillId="0" borderId="47" xfId="0" applyNumberFormat="1" applyFont="1" applyBorder="1"/>
    <xf numFmtId="14" fontId="9" fillId="0" borderId="48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80"/>
  <sheetViews>
    <sheetView tabSelected="1" workbookViewId="0">
      <selection activeCell="B1" sqref="B1"/>
    </sheetView>
  </sheetViews>
  <sheetFormatPr defaultRowHeight="12.75" x14ac:dyDescent="0.2"/>
  <cols>
    <col min="1" max="1" width="28" style="2" customWidth="1"/>
    <col min="2" max="2" width="13" style="1" customWidth="1"/>
    <col min="3" max="3" width="23" style="1" customWidth="1"/>
    <col min="4" max="4" width="8.85546875" style="1" customWidth="1"/>
    <col min="5" max="5" width="11.140625" style="1" customWidth="1"/>
    <col min="6" max="6" width="10.5703125" style="1" bestFit="1" customWidth="1"/>
    <col min="7" max="7" width="16.28515625" style="1" customWidth="1"/>
    <col min="8" max="8" width="10.85546875" style="1" bestFit="1" customWidth="1"/>
    <col min="9" max="9" width="13.28515625" style="1" customWidth="1"/>
    <col min="10" max="10" width="2.85546875" style="1" customWidth="1"/>
    <col min="11" max="11" width="7.140625" style="1" customWidth="1"/>
    <col min="12" max="12" width="12.5703125" style="1" bestFit="1" customWidth="1"/>
    <col min="13" max="13" width="10.140625" style="1" bestFit="1" customWidth="1"/>
    <col min="14" max="16384" width="9.140625" style="1"/>
  </cols>
  <sheetData>
    <row r="1" spans="1:13" ht="30.75" customHeight="1" thickTop="1" x14ac:dyDescent="0.25">
      <c r="A1" s="130" t="s">
        <v>31</v>
      </c>
      <c r="B1" s="129" t="s">
        <v>30</v>
      </c>
      <c r="C1" s="129"/>
      <c r="D1" s="129"/>
      <c r="E1" s="128"/>
      <c r="F1" s="128"/>
      <c r="G1" s="128"/>
      <c r="H1" s="128"/>
      <c r="I1" s="127"/>
      <c r="J1" s="16"/>
    </row>
    <row r="2" spans="1:13" ht="20.25" customHeight="1" thickBot="1" x14ac:dyDescent="0.25">
      <c r="A2" s="126" t="s">
        <v>29</v>
      </c>
      <c r="B2" s="124"/>
      <c r="C2" s="124"/>
      <c r="D2" s="124"/>
      <c r="E2" s="125">
        <v>40721</v>
      </c>
      <c r="F2" s="124"/>
      <c r="G2" s="124"/>
      <c r="H2" s="124"/>
      <c r="I2" s="123"/>
      <c r="J2" s="16"/>
    </row>
    <row r="3" spans="1:13" ht="63.75" customHeight="1" thickBot="1" x14ac:dyDescent="0.3">
      <c r="A3" s="122" t="s">
        <v>28</v>
      </c>
      <c r="B3" s="121" t="s">
        <v>27</v>
      </c>
      <c r="C3" s="121" t="s">
        <v>26</v>
      </c>
      <c r="D3" s="121" t="s">
        <v>25</v>
      </c>
      <c r="E3" s="121" t="s">
        <v>24</v>
      </c>
      <c r="F3" s="120" t="s">
        <v>23</v>
      </c>
      <c r="G3" s="119" t="s">
        <v>22</v>
      </c>
      <c r="H3" s="118" t="s">
        <v>21</v>
      </c>
      <c r="I3" s="117" t="s">
        <v>20</v>
      </c>
      <c r="J3" s="16"/>
    </row>
    <row r="4" spans="1:13" ht="25.5" x14ac:dyDescent="0.2">
      <c r="A4" s="115" t="s">
        <v>19</v>
      </c>
      <c r="B4" s="114" t="s">
        <v>18</v>
      </c>
      <c r="C4" s="113"/>
      <c r="D4" s="113"/>
      <c r="E4" s="113"/>
      <c r="F4" s="113" t="s">
        <v>17</v>
      </c>
      <c r="G4" s="111">
        <v>70</v>
      </c>
      <c r="H4" s="110"/>
      <c r="I4" s="109">
        <f>G4*F4</f>
        <v>116830</v>
      </c>
      <c r="J4" s="16"/>
      <c r="L4" s="98"/>
      <c r="M4" s="97"/>
    </row>
    <row r="5" spans="1:13" x14ac:dyDescent="0.2">
      <c r="A5" s="115"/>
      <c r="B5" s="114"/>
      <c r="C5" s="113"/>
      <c r="D5" s="113"/>
      <c r="E5" s="113"/>
      <c r="F5" s="116"/>
      <c r="G5" s="111"/>
      <c r="H5" s="110"/>
      <c r="I5" s="109"/>
      <c r="J5" s="16"/>
      <c r="L5" s="98"/>
      <c r="M5" s="97"/>
    </row>
    <row r="6" spans="1:13" x14ac:dyDescent="0.2">
      <c r="A6" s="115"/>
      <c r="B6" s="114"/>
      <c r="C6" s="113"/>
      <c r="D6" s="113"/>
      <c r="E6" s="113"/>
      <c r="F6" s="116"/>
      <c r="G6" s="111"/>
      <c r="H6" s="110"/>
      <c r="I6" s="109"/>
      <c r="J6" s="16"/>
      <c r="L6" s="98"/>
      <c r="M6" s="97"/>
    </row>
    <row r="7" spans="1:13" x14ac:dyDescent="0.2">
      <c r="A7" s="115"/>
      <c r="B7" s="114"/>
      <c r="C7" s="113"/>
      <c r="D7" s="113"/>
      <c r="E7" s="113"/>
      <c r="F7" s="112"/>
      <c r="G7" s="111"/>
      <c r="H7" s="110"/>
      <c r="I7" s="109"/>
      <c r="J7" s="16"/>
      <c r="K7" s="2"/>
      <c r="L7" s="98"/>
      <c r="M7" s="97"/>
    </row>
    <row r="8" spans="1:13" ht="14.25" x14ac:dyDescent="0.2">
      <c r="A8" s="108"/>
      <c r="B8" s="81" t="s">
        <v>16</v>
      </c>
      <c r="C8" s="89" t="s">
        <v>16</v>
      </c>
      <c r="D8" s="107" t="s">
        <v>16</v>
      </c>
      <c r="E8" s="107" t="s">
        <v>16</v>
      </c>
      <c r="F8" s="106"/>
      <c r="G8" s="105"/>
      <c r="H8" s="104"/>
      <c r="I8" s="77"/>
      <c r="J8" s="16"/>
      <c r="L8" s="98"/>
      <c r="M8" s="97"/>
    </row>
    <row r="9" spans="1:13" ht="14.25" x14ac:dyDescent="0.2">
      <c r="A9" s="103" t="s">
        <v>5</v>
      </c>
      <c r="B9" s="102"/>
      <c r="C9" s="102"/>
      <c r="D9" s="102"/>
      <c r="E9" s="102"/>
      <c r="F9" s="101">
        <v>1669</v>
      </c>
      <c r="G9" s="100">
        <f>I9/F9-H9</f>
        <v>70</v>
      </c>
      <c r="H9" s="99">
        <v>0</v>
      </c>
      <c r="I9" s="99">
        <f>SUM(I4:I8)</f>
        <v>116830</v>
      </c>
      <c r="J9" s="16"/>
      <c r="L9" s="98"/>
      <c r="M9" s="97"/>
    </row>
    <row r="10" spans="1:13" ht="14.25" x14ac:dyDescent="0.2">
      <c r="A10" s="96"/>
      <c r="B10" s="95"/>
      <c r="C10" s="95"/>
      <c r="D10" s="95"/>
      <c r="E10" s="94"/>
      <c r="F10" s="93"/>
      <c r="G10" s="92"/>
      <c r="H10" s="78"/>
      <c r="I10" s="77"/>
      <c r="J10" s="16"/>
    </row>
    <row r="11" spans="1:13" ht="15" x14ac:dyDescent="0.25">
      <c r="A11" s="91" t="s">
        <v>15</v>
      </c>
      <c r="B11" s="90"/>
      <c r="C11" s="90"/>
      <c r="D11" s="90"/>
      <c r="E11" s="89"/>
      <c r="F11" s="88" t="s">
        <v>14</v>
      </c>
      <c r="G11" s="87" t="s">
        <v>13</v>
      </c>
      <c r="H11" s="78"/>
      <c r="I11" s="77"/>
      <c r="J11" s="16"/>
    </row>
    <row r="12" spans="1:13" ht="14.25" x14ac:dyDescent="0.2">
      <c r="A12" s="86"/>
      <c r="B12" s="85"/>
      <c r="C12" s="85"/>
      <c r="D12" s="85"/>
      <c r="E12" s="84"/>
      <c r="F12" s="80"/>
      <c r="G12" s="79"/>
      <c r="H12" s="78"/>
      <c r="I12" s="77"/>
      <c r="J12" s="16"/>
    </row>
    <row r="13" spans="1:13" ht="14.25" x14ac:dyDescent="0.2">
      <c r="A13" s="86"/>
      <c r="B13" s="85"/>
      <c r="C13" s="85"/>
      <c r="D13" s="85"/>
      <c r="E13" s="84"/>
      <c r="F13" s="80"/>
      <c r="G13" s="79"/>
      <c r="H13" s="78"/>
      <c r="I13" s="77"/>
      <c r="J13" s="16"/>
    </row>
    <row r="14" spans="1:13" ht="14.25" x14ac:dyDescent="0.2">
      <c r="A14" s="86"/>
      <c r="B14" s="85"/>
      <c r="C14" s="85"/>
      <c r="D14" s="85"/>
      <c r="E14" s="84" t="s">
        <v>12</v>
      </c>
      <c r="F14" s="80">
        <v>0</v>
      </c>
      <c r="G14" s="79">
        <v>0</v>
      </c>
      <c r="H14" s="78"/>
      <c r="I14" s="77">
        <f>G14*F14</f>
        <v>0</v>
      </c>
      <c r="J14" s="16"/>
    </row>
    <row r="15" spans="1:13" ht="14.25" x14ac:dyDescent="0.2">
      <c r="A15" s="83"/>
      <c r="B15" s="82"/>
      <c r="C15" s="82"/>
      <c r="D15" s="82"/>
      <c r="E15" s="81"/>
      <c r="F15" s="80"/>
      <c r="G15" s="79"/>
      <c r="H15" s="78"/>
      <c r="I15" s="77">
        <f>G15*F15</f>
        <v>0</v>
      </c>
      <c r="J15" s="16"/>
    </row>
    <row r="16" spans="1:13" ht="15.75" thickBot="1" x14ac:dyDescent="0.3">
      <c r="A16" s="76" t="s">
        <v>5</v>
      </c>
      <c r="B16" s="75"/>
      <c r="C16" s="75"/>
      <c r="D16" s="75"/>
      <c r="E16" s="74"/>
      <c r="F16" s="73">
        <f>SUM(F12:F15)</f>
        <v>0</v>
      </c>
      <c r="G16" s="72"/>
      <c r="H16" s="71"/>
      <c r="I16" s="70">
        <f>SUM(I12:I15)</f>
        <v>0</v>
      </c>
      <c r="J16" s="16"/>
    </row>
    <row r="17" spans="1:12" ht="18.75" customHeight="1" thickBot="1" x14ac:dyDescent="0.3">
      <c r="A17" s="69" t="s">
        <v>11</v>
      </c>
      <c r="B17" s="68"/>
      <c r="C17" s="68"/>
      <c r="D17" s="68"/>
      <c r="E17" s="67"/>
      <c r="F17" s="66"/>
      <c r="G17" s="65"/>
      <c r="H17" s="60"/>
      <c r="I17" s="58">
        <f>+I16+I9</f>
        <v>116830</v>
      </c>
      <c r="J17" s="16"/>
    </row>
    <row r="18" spans="1:12" ht="18.75" customHeight="1" thickBot="1" x14ac:dyDescent="0.3">
      <c r="A18" s="64" t="s">
        <v>10</v>
      </c>
      <c r="B18" s="63"/>
      <c r="C18" s="63"/>
      <c r="D18" s="63"/>
      <c r="E18" s="62"/>
      <c r="F18" s="61"/>
      <c r="G18" s="60"/>
      <c r="H18" s="59"/>
      <c r="I18" s="58">
        <f>+I17*12</f>
        <v>1401960</v>
      </c>
      <c r="J18" s="16"/>
    </row>
    <row r="19" spans="1:12" ht="18.75" customHeight="1" x14ac:dyDescent="0.25">
      <c r="A19" s="57" t="s">
        <v>9</v>
      </c>
      <c r="B19" s="56"/>
      <c r="C19" s="56"/>
      <c r="D19" s="56"/>
      <c r="E19" s="55" t="s">
        <v>8</v>
      </c>
      <c r="F19" s="55" t="s">
        <v>7</v>
      </c>
      <c r="G19" s="54" t="s">
        <v>6</v>
      </c>
      <c r="H19" s="53"/>
      <c r="I19" s="52"/>
      <c r="J19" s="16"/>
    </row>
    <row r="20" spans="1:12" ht="15" thickBot="1" x14ac:dyDescent="0.25">
      <c r="A20" s="51" t="s">
        <v>5</v>
      </c>
      <c r="B20" s="50"/>
      <c r="C20" s="50"/>
      <c r="D20" s="50"/>
      <c r="E20" s="49">
        <v>18097.25</v>
      </c>
      <c r="F20" s="49">
        <f>E20*12</f>
        <v>217167</v>
      </c>
      <c r="G20" s="48">
        <f>E20/F9</f>
        <v>10.843169562612342</v>
      </c>
      <c r="H20" s="47">
        <f>F20/I18</f>
        <v>0.15490242232303347</v>
      </c>
      <c r="I20" s="46"/>
      <c r="J20" s="16"/>
    </row>
    <row r="21" spans="1:12" ht="18.75" customHeight="1" x14ac:dyDescent="0.25">
      <c r="A21" s="45" t="s">
        <v>4</v>
      </c>
      <c r="B21" s="44"/>
      <c r="C21" s="44"/>
      <c r="D21" s="44"/>
      <c r="E21" s="43"/>
      <c r="F21" s="42"/>
      <c r="G21" s="41"/>
      <c r="H21" s="40">
        <v>0.01</v>
      </c>
      <c r="I21" s="39">
        <f>+I18*-H21</f>
        <v>-14019.6</v>
      </c>
      <c r="J21" s="16"/>
    </row>
    <row r="22" spans="1:12" ht="18.75" customHeight="1" x14ac:dyDescent="0.25">
      <c r="A22" s="38" t="s">
        <v>3</v>
      </c>
      <c r="B22" s="37"/>
      <c r="C22" s="37"/>
      <c r="D22" s="37"/>
      <c r="E22" s="36"/>
      <c r="F22" s="35"/>
      <c r="G22" s="34"/>
      <c r="H22" s="33"/>
      <c r="I22" s="32">
        <f>+I23/12</f>
        <v>97564.45</v>
      </c>
      <c r="J22" s="16"/>
    </row>
    <row r="23" spans="1:12" ht="18.75" customHeight="1" x14ac:dyDescent="0.25">
      <c r="A23" s="28" t="s">
        <v>2</v>
      </c>
      <c r="B23" s="26"/>
      <c r="C23" s="26"/>
      <c r="D23" s="26"/>
      <c r="E23" s="27"/>
      <c r="F23" s="27"/>
      <c r="G23" s="31"/>
      <c r="H23" s="24"/>
      <c r="I23" s="29">
        <f>+I18-F20+I21</f>
        <v>1170773.3999999999</v>
      </c>
      <c r="J23" s="16"/>
    </row>
    <row r="24" spans="1:12" ht="18.75" customHeight="1" x14ac:dyDescent="0.25">
      <c r="A24" s="28" t="s">
        <v>1</v>
      </c>
      <c r="B24" s="26"/>
      <c r="C24" s="26"/>
      <c r="D24" s="26"/>
      <c r="E24" s="27"/>
      <c r="F24" s="27"/>
      <c r="G24" s="30"/>
      <c r="H24" s="24">
        <v>0.12</v>
      </c>
      <c r="I24" s="29">
        <f>+I23/H24</f>
        <v>9756445</v>
      </c>
      <c r="J24" s="16"/>
    </row>
    <row r="25" spans="1:12" ht="18.75" customHeight="1" x14ac:dyDescent="0.25">
      <c r="A25" s="28" t="s">
        <v>0</v>
      </c>
      <c r="B25" s="26"/>
      <c r="C25" s="26"/>
      <c r="D25" s="26"/>
      <c r="E25" s="27"/>
      <c r="F25" s="26"/>
      <c r="G25" s="25"/>
      <c r="H25" s="24"/>
      <c r="I25" s="23">
        <f>ROUND(I24,-4)</f>
        <v>9760000</v>
      </c>
      <c r="J25" s="16"/>
    </row>
    <row r="26" spans="1:12" ht="39" customHeight="1" thickBot="1" x14ac:dyDescent="0.3">
      <c r="A26" s="22"/>
      <c r="B26" s="20"/>
      <c r="C26" s="20"/>
      <c r="D26" s="20"/>
      <c r="E26" s="21"/>
      <c r="F26" s="20"/>
      <c r="G26" s="19"/>
      <c r="H26" s="18"/>
      <c r="I26" s="17">
        <f>L26/I25</f>
        <v>0.29607758299180326</v>
      </c>
      <c r="J26" s="16"/>
      <c r="L26" s="15">
        <v>2889717.21</v>
      </c>
    </row>
    <row r="27" spans="1:12" ht="15" thickTop="1" x14ac:dyDescent="0.2">
      <c r="A27" s="11"/>
      <c r="B27" s="14"/>
      <c r="C27" s="14"/>
      <c r="D27" s="14"/>
      <c r="E27" s="14"/>
      <c r="F27" s="14"/>
      <c r="G27" s="13"/>
      <c r="H27" s="13"/>
      <c r="I27" s="12"/>
    </row>
    <row r="28" spans="1:12" ht="14.25" x14ac:dyDescent="0.2">
      <c r="A28" s="11"/>
      <c r="B28" s="14"/>
      <c r="C28" s="14"/>
      <c r="D28" s="14"/>
      <c r="E28" s="14"/>
      <c r="F28" s="14"/>
      <c r="G28" s="13"/>
      <c r="H28" s="13"/>
      <c r="I28" s="12"/>
    </row>
    <row r="29" spans="1:12" x14ac:dyDescent="0.2">
      <c r="A29" s="11"/>
      <c r="B29" s="10"/>
      <c r="C29" s="10"/>
      <c r="D29" s="10"/>
      <c r="E29" s="9"/>
      <c r="F29" s="9"/>
      <c r="G29" s="4"/>
      <c r="H29" s="4"/>
      <c r="I29" s="8"/>
    </row>
    <row r="30" spans="1:12" x14ac:dyDescent="0.2">
      <c r="B30" s="6"/>
      <c r="C30" s="6"/>
      <c r="D30" s="6"/>
      <c r="F30" s="3"/>
      <c r="G30" s="4"/>
      <c r="H30" s="4"/>
      <c r="I30" s="8"/>
    </row>
    <row r="31" spans="1:12" x14ac:dyDescent="0.2">
      <c r="B31" s="6"/>
      <c r="C31" s="6"/>
      <c r="D31" s="6"/>
      <c r="F31" s="3"/>
      <c r="G31" s="4"/>
      <c r="H31" s="4"/>
    </row>
    <row r="32" spans="1:12" x14ac:dyDescent="0.2">
      <c r="B32" s="6"/>
      <c r="C32" s="6"/>
      <c r="D32" s="6"/>
      <c r="F32" s="3"/>
      <c r="G32" s="4"/>
      <c r="H32" s="4"/>
    </row>
    <row r="33" spans="2:8" x14ac:dyDescent="0.2">
      <c r="B33" s="7"/>
      <c r="C33" s="6"/>
      <c r="D33" s="6"/>
      <c r="F33" s="3"/>
      <c r="G33" s="4"/>
      <c r="H33" s="4"/>
    </row>
    <row r="34" spans="2:8" x14ac:dyDescent="0.2">
      <c r="B34" s="6"/>
      <c r="C34" s="6"/>
      <c r="D34" s="6"/>
      <c r="F34" s="3"/>
      <c r="G34" s="4"/>
      <c r="H34" s="4"/>
    </row>
    <row r="35" spans="2:8" x14ac:dyDescent="0.2">
      <c r="B35" s="5"/>
      <c r="C35" s="5"/>
      <c r="D35" s="5"/>
      <c r="F35" s="3"/>
      <c r="G35" s="4"/>
      <c r="H35" s="4"/>
    </row>
    <row r="36" spans="2:8" x14ac:dyDescent="0.2">
      <c r="B36" s="5"/>
      <c r="C36" s="5"/>
      <c r="D36" s="5"/>
      <c r="F36" s="3"/>
      <c r="G36" s="4"/>
      <c r="H36" s="4"/>
    </row>
    <row r="37" spans="2:8" x14ac:dyDescent="0.2">
      <c r="B37" s="5"/>
      <c r="C37" s="5"/>
      <c r="D37" s="5"/>
      <c r="F37" s="3"/>
      <c r="G37" s="4"/>
      <c r="H37" s="4"/>
    </row>
    <row r="38" spans="2:8" x14ac:dyDescent="0.2">
      <c r="B38" s="5"/>
      <c r="C38" s="5"/>
      <c r="D38" s="5"/>
      <c r="F38" s="3"/>
      <c r="G38" s="4"/>
      <c r="H38" s="4"/>
    </row>
    <row r="39" spans="2:8" x14ac:dyDescent="0.2">
      <c r="B39" s="5"/>
      <c r="C39" s="5"/>
      <c r="D39" s="5"/>
      <c r="F39" s="3"/>
      <c r="G39" s="4"/>
      <c r="H39" s="4"/>
    </row>
    <row r="40" spans="2:8" x14ac:dyDescent="0.2">
      <c r="B40" s="5"/>
      <c r="C40" s="5"/>
      <c r="D40" s="5"/>
      <c r="F40" s="3"/>
      <c r="G40" s="4"/>
      <c r="H40" s="4"/>
    </row>
    <row r="41" spans="2:8" x14ac:dyDescent="0.2">
      <c r="B41" s="5"/>
      <c r="C41" s="5"/>
      <c r="D41" s="5"/>
      <c r="F41" s="3"/>
      <c r="G41" s="4"/>
      <c r="H41" s="4"/>
    </row>
    <row r="42" spans="2:8" x14ac:dyDescent="0.2">
      <c r="F42" s="3"/>
      <c r="G42" s="4"/>
      <c r="H42" s="4"/>
    </row>
    <row r="43" spans="2:8" x14ac:dyDescent="0.2">
      <c r="F43" s="3"/>
      <c r="G43" s="4"/>
      <c r="H43" s="4"/>
    </row>
    <row r="44" spans="2:8" x14ac:dyDescent="0.2">
      <c r="F44" s="3"/>
      <c r="G44" s="4"/>
      <c r="H44" s="4"/>
    </row>
    <row r="45" spans="2:8" x14ac:dyDescent="0.2">
      <c r="F45" s="3"/>
      <c r="G45" s="4"/>
      <c r="H45" s="4"/>
    </row>
    <row r="46" spans="2:8" x14ac:dyDescent="0.2">
      <c r="F46" s="3"/>
      <c r="G46" s="4"/>
      <c r="H46" s="4"/>
    </row>
    <row r="47" spans="2:8" x14ac:dyDescent="0.2">
      <c r="F47" s="3"/>
      <c r="G47" s="4"/>
      <c r="H47" s="4"/>
    </row>
    <row r="48" spans="2:8" x14ac:dyDescent="0.2">
      <c r="F48" s="3"/>
      <c r="G48" s="4"/>
      <c r="H48" s="4"/>
    </row>
    <row r="49" spans="6:8" x14ac:dyDescent="0.2">
      <c r="F49" s="3"/>
      <c r="G49" s="4"/>
      <c r="H49" s="4"/>
    </row>
    <row r="50" spans="6:8" x14ac:dyDescent="0.2">
      <c r="F50" s="3"/>
      <c r="G50" s="4"/>
      <c r="H50" s="4"/>
    </row>
    <row r="51" spans="6:8" x14ac:dyDescent="0.2">
      <c r="F51" s="3"/>
      <c r="G51" s="4"/>
      <c r="H51" s="4"/>
    </row>
    <row r="52" spans="6:8" x14ac:dyDescent="0.2">
      <c r="F52" s="3"/>
      <c r="G52" s="4"/>
      <c r="H52" s="4"/>
    </row>
    <row r="53" spans="6:8" x14ac:dyDescent="0.2">
      <c r="F53" s="3"/>
      <c r="G53" s="4"/>
      <c r="H53" s="4"/>
    </row>
    <row r="54" spans="6:8" x14ac:dyDescent="0.2">
      <c r="F54" s="3"/>
      <c r="G54" s="4"/>
      <c r="H54" s="4"/>
    </row>
    <row r="55" spans="6:8" x14ac:dyDescent="0.2">
      <c r="F55" s="3"/>
      <c r="G55" s="4"/>
      <c r="H55" s="4"/>
    </row>
    <row r="56" spans="6:8" x14ac:dyDescent="0.2">
      <c r="F56" s="3"/>
      <c r="G56" s="4"/>
      <c r="H56" s="4"/>
    </row>
    <row r="57" spans="6:8" x14ac:dyDescent="0.2">
      <c r="F57" s="3"/>
      <c r="G57" s="4"/>
      <c r="H57" s="4"/>
    </row>
    <row r="58" spans="6:8" x14ac:dyDescent="0.2">
      <c r="F58" s="3"/>
      <c r="G58" s="4"/>
      <c r="H58" s="4"/>
    </row>
    <row r="59" spans="6:8" x14ac:dyDescent="0.2">
      <c r="F59" s="3"/>
      <c r="G59" s="4"/>
      <c r="H59" s="4"/>
    </row>
    <row r="60" spans="6:8" x14ac:dyDescent="0.2">
      <c r="F60" s="3"/>
      <c r="G60" s="4"/>
      <c r="H60" s="4"/>
    </row>
    <row r="61" spans="6:8" x14ac:dyDescent="0.2">
      <c r="F61" s="3"/>
      <c r="G61" s="4"/>
      <c r="H61" s="4"/>
    </row>
    <row r="62" spans="6:8" x14ac:dyDescent="0.2">
      <c r="F62" s="3"/>
      <c r="G62" s="4"/>
      <c r="H62" s="4"/>
    </row>
    <row r="63" spans="6:8" x14ac:dyDescent="0.2">
      <c r="F63" s="3"/>
      <c r="G63" s="4"/>
      <c r="H63" s="4"/>
    </row>
    <row r="64" spans="6:8" x14ac:dyDescent="0.2">
      <c r="F64" s="3"/>
      <c r="G64" s="4"/>
      <c r="H64" s="4"/>
    </row>
    <row r="65" spans="6:8" x14ac:dyDescent="0.2">
      <c r="F65" s="3"/>
      <c r="G65" s="4"/>
      <c r="H65" s="4"/>
    </row>
    <row r="66" spans="6:8" x14ac:dyDescent="0.2">
      <c r="F66" s="3"/>
      <c r="G66" s="4"/>
      <c r="H66" s="4"/>
    </row>
    <row r="67" spans="6:8" x14ac:dyDescent="0.2">
      <c r="F67" s="3"/>
      <c r="G67" s="4"/>
      <c r="H67" s="4"/>
    </row>
    <row r="68" spans="6:8" x14ac:dyDescent="0.2">
      <c r="F68" s="3"/>
      <c r="G68" s="4"/>
      <c r="H68" s="4"/>
    </row>
    <row r="69" spans="6:8" x14ac:dyDescent="0.2">
      <c r="F69" s="3"/>
      <c r="G69" s="4"/>
      <c r="H69" s="4"/>
    </row>
    <row r="70" spans="6:8" x14ac:dyDescent="0.2">
      <c r="F70" s="3"/>
      <c r="G70" s="4"/>
      <c r="H70" s="4"/>
    </row>
    <row r="71" spans="6:8" x14ac:dyDescent="0.2">
      <c r="F71" s="3"/>
      <c r="G71" s="4"/>
      <c r="H71" s="4"/>
    </row>
    <row r="72" spans="6:8" x14ac:dyDescent="0.2">
      <c r="F72" s="3"/>
      <c r="G72" s="4"/>
      <c r="H72" s="4"/>
    </row>
    <row r="73" spans="6:8" x14ac:dyDescent="0.2">
      <c r="F73" s="3"/>
      <c r="G73" s="4"/>
      <c r="H73" s="4"/>
    </row>
    <row r="74" spans="6:8" x14ac:dyDescent="0.2">
      <c r="F74" s="3"/>
      <c r="G74" s="4"/>
      <c r="H74" s="4"/>
    </row>
    <row r="75" spans="6:8" x14ac:dyDescent="0.2">
      <c r="F75" s="3"/>
      <c r="G75" s="4"/>
      <c r="H75" s="4"/>
    </row>
    <row r="76" spans="6:8" x14ac:dyDescent="0.2">
      <c r="F76" s="3"/>
      <c r="G76" s="4"/>
      <c r="H76" s="4"/>
    </row>
    <row r="77" spans="6:8" x14ac:dyDescent="0.2">
      <c r="F77" s="3"/>
      <c r="G77" s="4"/>
      <c r="H77" s="4"/>
    </row>
    <row r="78" spans="6:8" x14ac:dyDescent="0.2">
      <c r="F78" s="3"/>
      <c r="G78" s="4"/>
      <c r="H78" s="4"/>
    </row>
    <row r="79" spans="6:8" x14ac:dyDescent="0.2">
      <c r="F79" s="3"/>
      <c r="G79" s="4"/>
      <c r="H79" s="4"/>
    </row>
    <row r="80" spans="6:8" x14ac:dyDescent="0.2">
      <c r="F80" s="3"/>
      <c r="G80" s="4"/>
      <c r="H80" s="4"/>
    </row>
    <row r="81" spans="6:8" x14ac:dyDescent="0.2">
      <c r="F81" s="3"/>
      <c r="G81" s="4"/>
      <c r="H81" s="4"/>
    </row>
    <row r="82" spans="6:8" x14ac:dyDescent="0.2">
      <c r="F82" s="3"/>
      <c r="G82" s="4"/>
      <c r="H82" s="4"/>
    </row>
    <row r="83" spans="6:8" x14ac:dyDescent="0.2">
      <c r="F83" s="3"/>
      <c r="G83" s="4"/>
      <c r="H83" s="4"/>
    </row>
    <row r="84" spans="6:8" x14ac:dyDescent="0.2">
      <c r="F84" s="3"/>
      <c r="G84" s="4"/>
      <c r="H84" s="4"/>
    </row>
    <row r="85" spans="6:8" x14ac:dyDescent="0.2">
      <c r="F85" s="3"/>
      <c r="G85" s="4"/>
      <c r="H85" s="4"/>
    </row>
    <row r="86" spans="6:8" x14ac:dyDescent="0.2">
      <c r="F86" s="3"/>
      <c r="G86" s="4"/>
      <c r="H86" s="4"/>
    </row>
    <row r="87" spans="6:8" x14ac:dyDescent="0.2">
      <c r="F87" s="3"/>
      <c r="G87" s="4"/>
      <c r="H87" s="4"/>
    </row>
    <row r="88" spans="6:8" x14ac:dyDescent="0.2">
      <c r="F88" s="3"/>
      <c r="G88" s="4"/>
      <c r="H88" s="4"/>
    </row>
    <row r="89" spans="6:8" x14ac:dyDescent="0.2">
      <c r="F89" s="3"/>
      <c r="G89" s="4"/>
      <c r="H89" s="4"/>
    </row>
    <row r="90" spans="6:8" x14ac:dyDescent="0.2">
      <c r="F90" s="3"/>
      <c r="G90" s="4"/>
      <c r="H90" s="4"/>
    </row>
    <row r="91" spans="6:8" x14ac:dyDescent="0.2">
      <c r="F91" s="3"/>
      <c r="G91" s="4"/>
      <c r="H91" s="4"/>
    </row>
    <row r="92" spans="6:8" x14ac:dyDescent="0.2">
      <c r="F92" s="3"/>
      <c r="G92" s="4"/>
      <c r="H92" s="4"/>
    </row>
    <row r="93" spans="6:8" x14ac:dyDescent="0.2">
      <c r="F93" s="3"/>
      <c r="G93" s="4"/>
      <c r="H93" s="4"/>
    </row>
    <row r="94" spans="6:8" x14ac:dyDescent="0.2">
      <c r="F94" s="3"/>
      <c r="G94" s="4"/>
      <c r="H94" s="4"/>
    </row>
    <row r="95" spans="6:8" x14ac:dyDescent="0.2">
      <c r="F95" s="3"/>
      <c r="G95" s="4"/>
      <c r="H95" s="4"/>
    </row>
    <row r="96" spans="6:8" x14ac:dyDescent="0.2">
      <c r="F96" s="3"/>
    </row>
    <row r="97" spans="6:6" x14ac:dyDescent="0.2">
      <c r="F97" s="3"/>
    </row>
    <row r="98" spans="6:6" x14ac:dyDescent="0.2">
      <c r="F98" s="3"/>
    </row>
    <row r="99" spans="6:6" x14ac:dyDescent="0.2">
      <c r="F99" s="3"/>
    </row>
    <row r="100" spans="6:6" x14ac:dyDescent="0.2">
      <c r="F100" s="3"/>
    </row>
    <row r="101" spans="6:6" x14ac:dyDescent="0.2">
      <c r="F101" s="3"/>
    </row>
    <row r="102" spans="6:6" x14ac:dyDescent="0.2">
      <c r="F102" s="3"/>
    </row>
    <row r="103" spans="6:6" x14ac:dyDescent="0.2">
      <c r="F103" s="3"/>
    </row>
    <row r="104" spans="6:6" x14ac:dyDescent="0.2">
      <c r="F104" s="3"/>
    </row>
    <row r="105" spans="6:6" x14ac:dyDescent="0.2">
      <c r="F105" s="3"/>
    </row>
    <row r="106" spans="6:6" x14ac:dyDescent="0.2">
      <c r="F106" s="3"/>
    </row>
    <row r="107" spans="6:6" x14ac:dyDescent="0.2">
      <c r="F107" s="3"/>
    </row>
    <row r="108" spans="6:6" x14ac:dyDescent="0.2">
      <c r="F108" s="3"/>
    </row>
    <row r="109" spans="6:6" x14ac:dyDescent="0.2">
      <c r="F109" s="3"/>
    </row>
    <row r="110" spans="6:6" x14ac:dyDescent="0.2">
      <c r="F110" s="3"/>
    </row>
    <row r="111" spans="6:6" x14ac:dyDescent="0.2">
      <c r="F111" s="3"/>
    </row>
    <row r="112" spans="6:6" x14ac:dyDescent="0.2">
      <c r="F112" s="3"/>
    </row>
    <row r="113" spans="6:6" x14ac:dyDescent="0.2">
      <c r="F113" s="3"/>
    </row>
    <row r="114" spans="6:6" x14ac:dyDescent="0.2">
      <c r="F114" s="3"/>
    </row>
    <row r="115" spans="6:6" x14ac:dyDescent="0.2">
      <c r="F115" s="3"/>
    </row>
    <row r="116" spans="6:6" x14ac:dyDescent="0.2">
      <c r="F116" s="3"/>
    </row>
    <row r="117" spans="6:6" x14ac:dyDescent="0.2">
      <c r="F117" s="3"/>
    </row>
    <row r="118" spans="6:6" x14ac:dyDescent="0.2">
      <c r="F118" s="3"/>
    </row>
    <row r="119" spans="6:6" x14ac:dyDescent="0.2">
      <c r="F119" s="3"/>
    </row>
    <row r="120" spans="6:6" x14ac:dyDescent="0.2">
      <c r="F120" s="3"/>
    </row>
    <row r="121" spans="6:6" x14ac:dyDescent="0.2">
      <c r="F121" s="3"/>
    </row>
    <row r="122" spans="6:6" x14ac:dyDescent="0.2">
      <c r="F122" s="3"/>
    </row>
    <row r="123" spans="6:6" x14ac:dyDescent="0.2">
      <c r="F123" s="3"/>
    </row>
    <row r="124" spans="6:6" x14ac:dyDescent="0.2">
      <c r="F124" s="3"/>
    </row>
    <row r="125" spans="6:6" x14ac:dyDescent="0.2">
      <c r="F125" s="3"/>
    </row>
    <row r="126" spans="6:6" x14ac:dyDescent="0.2">
      <c r="F126" s="3"/>
    </row>
    <row r="127" spans="6:6" x14ac:dyDescent="0.2">
      <c r="F127" s="3"/>
    </row>
    <row r="128" spans="6:6" x14ac:dyDescent="0.2">
      <c r="F128" s="3"/>
    </row>
    <row r="129" spans="6:6" x14ac:dyDescent="0.2">
      <c r="F129" s="3"/>
    </row>
    <row r="130" spans="6:6" x14ac:dyDescent="0.2">
      <c r="F130" s="3"/>
    </row>
    <row r="131" spans="6:6" x14ac:dyDescent="0.2">
      <c r="F131" s="3"/>
    </row>
    <row r="132" spans="6:6" x14ac:dyDescent="0.2">
      <c r="F132" s="3"/>
    </row>
    <row r="133" spans="6:6" x14ac:dyDescent="0.2">
      <c r="F133" s="3"/>
    </row>
    <row r="134" spans="6:6" x14ac:dyDescent="0.2">
      <c r="F134" s="3"/>
    </row>
    <row r="135" spans="6:6" x14ac:dyDescent="0.2">
      <c r="F135" s="3"/>
    </row>
    <row r="136" spans="6:6" x14ac:dyDescent="0.2">
      <c r="F136" s="3"/>
    </row>
    <row r="137" spans="6:6" x14ac:dyDescent="0.2">
      <c r="F137" s="3"/>
    </row>
    <row r="138" spans="6:6" x14ac:dyDescent="0.2">
      <c r="F138" s="3"/>
    </row>
    <row r="139" spans="6:6" x14ac:dyDescent="0.2">
      <c r="F139" s="3"/>
    </row>
    <row r="140" spans="6:6" x14ac:dyDescent="0.2">
      <c r="F140" s="3"/>
    </row>
    <row r="141" spans="6:6" x14ac:dyDescent="0.2">
      <c r="F141" s="3"/>
    </row>
    <row r="142" spans="6:6" x14ac:dyDescent="0.2">
      <c r="F142" s="3"/>
    </row>
    <row r="143" spans="6:6" x14ac:dyDescent="0.2">
      <c r="F143" s="3"/>
    </row>
    <row r="144" spans="6:6" x14ac:dyDescent="0.2">
      <c r="F144" s="3"/>
    </row>
    <row r="145" spans="6:6" x14ac:dyDescent="0.2">
      <c r="F145" s="3"/>
    </row>
    <row r="146" spans="6:6" x14ac:dyDescent="0.2">
      <c r="F146" s="3"/>
    </row>
    <row r="147" spans="6:6" x14ac:dyDescent="0.2">
      <c r="F147" s="3"/>
    </row>
    <row r="148" spans="6:6" x14ac:dyDescent="0.2">
      <c r="F148" s="3"/>
    </row>
    <row r="149" spans="6:6" x14ac:dyDescent="0.2">
      <c r="F149" s="3"/>
    </row>
    <row r="150" spans="6:6" x14ac:dyDescent="0.2">
      <c r="F150" s="3"/>
    </row>
    <row r="151" spans="6:6" x14ac:dyDescent="0.2">
      <c r="F151" s="3"/>
    </row>
    <row r="152" spans="6:6" x14ac:dyDescent="0.2">
      <c r="F152" s="3"/>
    </row>
    <row r="153" spans="6:6" x14ac:dyDescent="0.2">
      <c r="F153" s="3"/>
    </row>
    <row r="154" spans="6:6" x14ac:dyDescent="0.2">
      <c r="F154" s="3"/>
    </row>
    <row r="155" spans="6:6" x14ac:dyDescent="0.2">
      <c r="F155" s="3"/>
    </row>
    <row r="156" spans="6:6" x14ac:dyDescent="0.2">
      <c r="F156" s="3"/>
    </row>
    <row r="157" spans="6:6" x14ac:dyDescent="0.2">
      <c r="F157" s="3"/>
    </row>
    <row r="158" spans="6:6" x14ac:dyDescent="0.2">
      <c r="F158" s="3"/>
    </row>
    <row r="159" spans="6:6" x14ac:dyDescent="0.2">
      <c r="F159" s="3"/>
    </row>
    <row r="160" spans="6:6" x14ac:dyDescent="0.2">
      <c r="F160" s="3"/>
    </row>
    <row r="161" spans="6:6" x14ac:dyDescent="0.2">
      <c r="F161" s="3"/>
    </row>
    <row r="162" spans="6:6" x14ac:dyDescent="0.2">
      <c r="F162" s="3"/>
    </row>
    <row r="163" spans="6:6" x14ac:dyDescent="0.2">
      <c r="F163" s="3"/>
    </row>
    <row r="164" spans="6:6" x14ac:dyDescent="0.2">
      <c r="F164" s="3"/>
    </row>
    <row r="165" spans="6:6" x14ac:dyDescent="0.2">
      <c r="F165" s="3"/>
    </row>
    <row r="166" spans="6:6" x14ac:dyDescent="0.2">
      <c r="F166" s="3"/>
    </row>
    <row r="167" spans="6:6" x14ac:dyDescent="0.2">
      <c r="F167" s="3"/>
    </row>
    <row r="168" spans="6:6" x14ac:dyDescent="0.2">
      <c r="F168" s="3"/>
    </row>
    <row r="169" spans="6:6" x14ac:dyDescent="0.2">
      <c r="F169" s="3"/>
    </row>
    <row r="170" spans="6:6" x14ac:dyDescent="0.2">
      <c r="F170" s="3"/>
    </row>
    <row r="171" spans="6:6" x14ac:dyDescent="0.2">
      <c r="F171" s="3"/>
    </row>
    <row r="172" spans="6:6" x14ac:dyDescent="0.2">
      <c r="F172" s="3"/>
    </row>
    <row r="173" spans="6:6" x14ac:dyDescent="0.2">
      <c r="F173" s="3"/>
    </row>
    <row r="174" spans="6:6" x14ac:dyDescent="0.2">
      <c r="F174" s="3"/>
    </row>
    <row r="175" spans="6:6" x14ac:dyDescent="0.2">
      <c r="F175" s="3"/>
    </row>
    <row r="176" spans="6:6" x14ac:dyDescent="0.2">
      <c r="F176" s="3"/>
    </row>
    <row r="177" spans="6:6" x14ac:dyDescent="0.2">
      <c r="F177" s="3"/>
    </row>
    <row r="178" spans="6:6" x14ac:dyDescent="0.2">
      <c r="F178" s="3"/>
    </row>
    <row r="179" spans="6:6" x14ac:dyDescent="0.2">
      <c r="F179" s="3"/>
    </row>
    <row r="180" spans="6:6" x14ac:dyDescent="0.2">
      <c r="F180" s="3"/>
    </row>
  </sheetData>
  <pageMargins left="0.70866141732283472" right="0.70866141732283472" top="0.74803149606299213" bottom="0.74803149606299213" header="0.31496062992125984" footer="0.31496062992125984"/>
  <pageSetup scale="78" orientation="landscape" verticalDpi="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Fourie, Sunette S</dc:creator>
  <cp:lastModifiedBy>Fourie, Sunette S</cp:lastModifiedBy>
  <dcterms:created xsi:type="dcterms:W3CDTF">2011-08-24T12:06:02Z</dcterms:created>
  <dcterms:modified xsi:type="dcterms:W3CDTF">2011-08-24T12:06:13Z</dcterms:modified>
</cp:coreProperties>
</file>