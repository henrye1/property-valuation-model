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0" yWindow="1380" windowWidth="16875" windowHeight="71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6"/>
  <c r="F17"/>
  <c r="I17"/>
  <c r="I18"/>
  <c r="I19" s="1"/>
  <c r="E21"/>
  <c r="F21"/>
  <c r="H21" s="1"/>
  <c r="G21"/>
  <c r="I22" l="1"/>
  <c r="I24"/>
  <c r="I25" l="1"/>
  <c r="I26" s="1"/>
  <c r="I23"/>
</calcChain>
</file>

<file path=xl/sharedStrings.xml><?xml version="1.0" encoding="utf-8"?>
<sst xmlns="http://schemas.openxmlformats.org/spreadsheetml/2006/main" count="36" uniqueCount="32">
  <si>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</si>
  <si>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</si>
  <si>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</si>
  <si>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</si>
  <si>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</si>
  <si>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</si>
  <si>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</si>
  <si>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</si>
  <si>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</si>
  <si>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</si>
  <si>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</si>
  <si>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</si>
  <si>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</si>
  <si>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shadenet</t>
  </si>
  <si>
    <t>R/bay</t>
  </si>
  <si>
    <t>No. bays</t>
  </si>
  <si>
    <t>Parking</t>
  </si>
  <si>
    <t>N/A</t>
  </si>
  <si>
    <t>7 A -B</t>
  </si>
  <si>
    <t>4 undustrial units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</si>
  <si>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</si>
  <si>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</si>
  <si>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</si>
  <si>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</si>
  <si>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</si>
  <si>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</si>
  <si>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</si>
  <si>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</si>
  <si>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</si>
  <si>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</si>
  <si>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Cela Shkela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</si>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</sst>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A11" sqref="A1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thickTop="1">
      <c r="A1" s="133" t="s">
        <v>31</v>
      </c>
      <c r="B1" s="132" t="s">
        <v>30</v>
      </c>
      <c r="C1" s="132"/>
      <c r="D1" s="132"/>
      <c r="E1" s="131"/>
      <c r="F1" s="131"/>
      <c r="G1" s="131"/>
      <c r="H1" s="131"/>
      <c r="I1" s="130"/>
      <c r="J1" s="16"/>
    </row>
    <row r="2" spans="1:15" s="1" customFormat="1" ht="20.25" customHeight="1" thickBot="1">
      <c r="A2" s="129" t="s">
        <v>29</v>
      </c>
      <c r="B2" s="127"/>
      <c r="C2" s="127"/>
      <c r="D2" s="127"/>
      <c r="E2" s="128">
        <v>40743</v>
      </c>
      <c r="F2" s="127"/>
      <c r="G2" s="127"/>
      <c r="H2" s="127"/>
      <c r="I2" s="126"/>
      <c r="J2" s="16"/>
    </row>
    <row r="3" spans="1:15" s="1" customFormat="1" ht="63.75" customHeight="1" thickBot="1">
      <c r="A3" s="125" t="s">
        <v>28</v>
      </c>
      <c r="B3" s="124" t="s">
        <v>27</v>
      </c>
      <c r="C3" s="124" t="s">
        <v>26</v>
      </c>
      <c r="D3" s="124" t="s">
        <v>25</v>
      </c>
      <c r="E3" s="124" t="s">
        <v>24</v>
      </c>
      <c r="F3" s="123" t="s">
        <v>23</v>
      </c>
      <c r="G3" s="122" t="s">
        <v>22</v>
      </c>
      <c r="H3" s="121" t="s">
        <v>21</v>
      </c>
      <c r="I3" s="120" t="s">
        <v>20</v>
      </c>
      <c r="J3" s="16"/>
    </row>
    <row r="4" spans="1:15" s="1" customFormat="1">
      <c r="A4" s="116" t="s">
        <v>19</v>
      </c>
      <c r="B4" s="119" t="s">
        <v>18</v>
      </c>
      <c r="C4" s="109" t="s">
        <v>17</v>
      </c>
      <c r="D4" s="109" t="s">
        <v>17</v>
      </c>
      <c r="E4" s="109" t="s">
        <v>17</v>
      </c>
      <c r="F4" s="118">
        <v>3371</v>
      </c>
      <c r="G4" s="113">
        <v>50</v>
      </c>
      <c r="H4" s="112"/>
      <c r="I4" s="105">
        <f>G4*F4</f>
        <v>168550</v>
      </c>
      <c r="J4" s="16"/>
      <c r="L4" s="99"/>
      <c r="M4" s="98"/>
    </row>
    <row r="5" spans="1:15" s="1" customFormat="1">
      <c r="A5" s="116"/>
      <c r="B5" s="115"/>
      <c r="C5" s="109"/>
      <c r="D5" s="109"/>
      <c r="E5" s="109"/>
      <c r="F5" s="117"/>
      <c r="G5" s="113"/>
      <c r="H5" s="112"/>
      <c r="I5" s="105"/>
      <c r="J5" s="16"/>
      <c r="L5" s="99"/>
      <c r="M5" s="98"/>
    </row>
    <row r="6" spans="1:15" s="1" customFormat="1">
      <c r="A6" s="116"/>
      <c r="B6" s="115"/>
      <c r="C6" s="109"/>
      <c r="D6" s="109"/>
      <c r="E6" s="109"/>
      <c r="F6" s="114"/>
      <c r="G6" s="113"/>
      <c r="H6" s="112"/>
      <c r="I6" s="105"/>
      <c r="J6" s="16"/>
      <c r="K6" s="2"/>
      <c r="L6" s="99"/>
      <c r="M6" s="98"/>
    </row>
    <row r="7" spans="1:15" s="1" customFormat="1">
      <c r="A7" s="116"/>
      <c r="B7" s="115"/>
      <c r="C7" s="109"/>
      <c r="D7" s="109"/>
      <c r="E7" s="109"/>
      <c r="F7" s="114"/>
      <c r="G7" s="113"/>
      <c r="H7" s="112"/>
      <c r="I7" s="105"/>
      <c r="J7" s="16"/>
      <c r="K7" s="2"/>
      <c r="L7" s="99"/>
      <c r="M7" s="98"/>
    </row>
    <row r="8" spans="1:15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5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5" customFormat="1">
      <c r="A10" s="104" t="s">
        <v>5</v>
      </c>
      <c r="B10" s="82"/>
      <c r="C10" s="103"/>
      <c r="D10" s="103"/>
      <c r="E10" s="103"/>
      <c r="F10" s="102">
        <f>SUM(F4:F9)</f>
        <v>3371</v>
      </c>
      <c r="G10" s="101">
        <f>I10/F10</f>
        <v>50</v>
      </c>
      <c r="H10" s="100">
        <v>0</v>
      </c>
      <c r="I10" s="100">
        <f>SUM(I4:I9)</f>
        <v>168550</v>
      </c>
      <c r="J10" s="16"/>
      <c r="K10" s="1"/>
      <c r="L10" s="99"/>
      <c r="M10" s="98"/>
      <c r="N10" s="1"/>
      <c r="O10" s="1"/>
    </row>
    <row r="11" spans="1:15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  <c r="K11" s="1"/>
      <c r="L11" s="1"/>
      <c r="M11" s="1"/>
      <c r="N11" s="1"/>
      <c r="O11" s="1"/>
    </row>
    <row r="12" spans="1:15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  <c r="K12" s="1"/>
      <c r="L12" s="1"/>
      <c r="M12" s="1"/>
      <c r="N12" s="1"/>
      <c r="O12" s="1"/>
    </row>
    <row r="13" spans="1:15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  <c r="K13" s="1"/>
      <c r="L13" s="1"/>
      <c r="M13" s="1"/>
      <c r="N13" s="1"/>
      <c r="O13" s="1"/>
    </row>
    <row r="14" spans="1:15" customFormat="1">
      <c r="A14" s="87"/>
      <c r="B14" s="86"/>
      <c r="C14" s="86"/>
      <c r="D14" s="86"/>
      <c r="E14" s="85" t="s">
        <v>13</v>
      </c>
      <c r="F14" s="81">
        <v>3</v>
      </c>
      <c r="G14" s="80">
        <v>150</v>
      </c>
      <c r="H14" s="79"/>
      <c r="I14" s="78">
        <f>G14*F14</f>
        <v>450</v>
      </c>
      <c r="J14" s="16"/>
      <c r="K14" s="1"/>
      <c r="L14" s="1"/>
      <c r="M14" s="1"/>
      <c r="N14" s="1"/>
      <c r="O14" s="1"/>
    </row>
    <row r="15" spans="1:15" customFormat="1">
      <c r="A15" s="87"/>
      <c r="B15" s="86"/>
      <c r="C15" s="86"/>
      <c r="D15" s="86"/>
      <c r="E15" s="85" t="s">
        <v>12</v>
      </c>
      <c r="F15" s="81">
        <v>19</v>
      </c>
      <c r="G15" s="80">
        <v>150</v>
      </c>
      <c r="H15" s="79"/>
      <c r="I15" s="78">
        <f>G15*F15</f>
        <v>2850</v>
      </c>
      <c r="J15" s="16"/>
      <c r="K15" s="1"/>
      <c r="L15" s="1"/>
      <c r="M15" s="1"/>
      <c r="N15" s="1"/>
      <c r="O15" s="1"/>
    </row>
    <row r="16" spans="1:15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  <c r="K16" s="1"/>
      <c r="L16" s="1"/>
      <c r="M16" s="1"/>
      <c r="N16" s="1"/>
      <c r="O16" s="1"/>
    </row>
    <row r="17" spans="1:15" customFormat="1" ht="15.75" thickBot="1">
      <c r="A17" s="77" t="s">
        <v>5</v>
      </c>
      <c r="B17" s="76"/>
      <c r="C17" s="76"/>
      <c r="D17" s="76"/>
      <c r="E17" s="75"/>
      <c r="F17" s="74">
        <f>SUM(F13:F16)</f>
        <v>22</v>
      </c>
      <c r="G17" s="73"/>
      <c r="H17" s="72"/>
      <c r="I17" s="71">
        <f>SUM(I13:I16)</f>
        <v>3300</v>
      </c>
      <c r="J17" s="16"/>
      <c r="K17" s="1"/>
      <c r="L17" s="1"/>
      <c r="M17" s="1"/>
      <c r="N17" s="1"/>
      <c r="O17" s="1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171850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2062200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289750/12</f>
        <v>24145.833333333332</v>
      </c>
      <c r="F21" s="50">
        <f>E21*12</f>
        <v>289750</v>
      </c>
      <c r="G21" s="49">
        <f>E21/F10</f>
        <v>7.1628102442400863</v>
      </c>
      <c r="H21" s="48">
        <f>F21/I19</f>
        <v>0.14050528561730191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-61866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142548.66666666666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1710584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0.115</v>
      </c>
      <c r="I25" s="29">
        <f>+I24/H25</f>
        <v>14874643.478260869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14870000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2011-08-24T12:16:54Z</dcterms:created>
  <dcterms:modified xsi:type="dcterms:W3CDTF">2011-08-24T12:17:13Z</dcterms:modified>
</cp:coreProperties>
</file>