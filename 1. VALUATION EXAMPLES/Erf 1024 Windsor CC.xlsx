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14" i="1" s="1"/>
  <c r="G14" i="1" s="1"/>
  <c r="F14" i="1"/>
  <c r="I18" i="1"/>
  <c r="I21" i="1" s="1"/>
  <c r="I22" i="1" s="1"/>
  <c r="I23" i="1" s="1"/>
  <c r="F21" i="1"/>
  <c r="E25" i="1"/>
  <c r="F25" i="1"/>
  <c r="G25" i="1"/>
  <c r="E39" i="1"/>
  <c r="I26" i="1" l="1"/>
  <c r="I28" i="1"/>
  <c r="H25" i="1"/>
  <c r="I27" i="1" l="1"/>
  <c r="E38" i="1" s="1"/>
  <c r="E42" i="1" s="1"/>
  <c r="I29" i="1"/>
  <c r="I30" i="1" l="1"/>
  <c r="I31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<sst xmlns="http://schemas.openxmlformats.org/spreadsheetml/2006/main" count="50" uniqueCount="43">
  <si>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</si>
  <si>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</si>
  <si>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</si>
  <si>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</si>
  <si>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</si>
  <si>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</si>
  <si>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</si>
  <si>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</si>
  <si>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</si>
  <si>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</si>
  <si>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</si>
  <si>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</si>
  <si>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</si>
  <si>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</si>
  <si>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</si>
  <si>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</si>
  <si>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</si>
  <si>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</si>
  <si>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</si>
  <si>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</si>
  <si>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</si>
  <si>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</si>
  <si>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</si>
  <si>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</si>
  <si>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</si>
  <si>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</si>
  <si>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</si>
  <si>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</si>
  <si>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</si>
  <si>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</si>
  <si>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</si>
  <si>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</si>
  <si>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</si>
  <si>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</si>
  <si>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</si>
  <si>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</si>
  <si>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</si>
  <si>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</si>
  <si>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</si>
  <si>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</si>
  <si>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</si>
  <si>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Erf 1024 Windsor CC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</si>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</sst>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9" t="s">
        <v>42</v>
      </c>
      <c r="B1" s="158" t="s">
        <v>41</v>
      </c>
      <c r="C1" s="158"/>
      <c r="D1" s="158"/>
      <c r="E1" s="156"/>
      <c r="F1" s="156"/>
      <c r="G1" s="157"/>
      <c r="H1" s="156"/>
      <c r="I1" s="155"/>
      <c r="J1" s="52"/>
    </row>
    <row r="2" spans="1:10" ht="20.25" customHeight="1" thickBot="1" x14ac:dyDescent="0.3">
      <c r="A2" s="154" t="s">
        <v>40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39</v>
      </c>
      <c r="B3" s="149" t="s">
        <v>38</v>
      </c>
      <c r="C3" s="149" t="s">
        <v>37</v>
      </c>
      <c r="D3" s="149" t="s">
        <v>36</v>
      </c>
      <c r="E3" s="149" t="s">
        <v>35</v>
      </c>
      <c r="F3" s="148" t="s">
        <v>34</v>
      </c>
      <c r="G3" s="147" t="s">
        <v>33</v>
      </c>
      <c r="H3" s="146" t="s">
        <v>32</v>
      </c>
      <c r="I3" s="145" t="s">
        <v>31</v>
      </c>
      <c r="J3" s="52"/>
    </row>
    <row r="4" spans="1:10" x14ac:dyDescent="0.25">
      <c r="A4" s="144" t="s">
        <v>30</v>
      </c>
      <c r="B4" s="120" t="s">
        <v>30</v>
      </c>
      <c r="C4" s="140"/>
      <c r="D4" s="140"/>
      <c r="E4" s="140"/>
      <c r="F4" s="143">
        <v>657</v>
      </c>
      <c r="G4" s="133">
        <v>60</v>
      </c>
      <c r="H4" s="142"/>
      <c r="I4" s="113">
        <f>G4*F4</f>
        <v>39420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/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657</v>
      </c>
      <c r="G14" s="133">
        <f>I14/F14-H14</f>
        <v>60</v>
      </c>
      <c r="H14" s="132">
        <v>0</v>
      </c>
      <c r="I14" s="132">
        <f>SUM(I4:I13)</f>
        <v>39420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0</v>
      </c>
      <c r="G18" s="115">
        <v>0</v>
      </c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39420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473040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f>117199/12</f>
        <v>9766.5833333333339</v>
      </c>
      <c r="F25" s="85">
        <f>E25*12</f>
        <v>117199</v>
      </c>
      <c r="G25" s="84">
        <f>E25/F14</f>
        <v>14.865423642820904</v>
      </c>
      <c r="H25" s="83">
        <f>F25/I23</f>
        <v>0.24775706071368173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0.01</v>
      </c>
      <c r="I26" s="75">
        <f>+I23*-H26</f>
        <v>-4730.4000000000005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29259.216666666664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351110.6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0.12</v>
      </c>
      <c r="I29" s="65">
        <f>+I28/H29</f>
        <v>2925921.6666666665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2930000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2050000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0.47781569965870307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0.52218430034129693</v>
      </c>
      <c r="C35" s="44"/>
      <c r="D35" s="43"/>
      <c r="E35" s="42">
        <f>E36 - E34</f>
        <v>1530000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2930000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29259.216666666664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9575.8545096094167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2011-08-24T11:59:45Z</dcterms:created>
  <dcterms:modified xsi:type="dcterms:W3CDTF">2011-08-24T11:59:57Z</dcterms:modified>
</cp:coreProperties>
</file>