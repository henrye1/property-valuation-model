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9" s="1"/>
  <c r="G9" s="1"/>
  <c r="I5"/>
  <c r="I6"/>
  <c r="I7"/>
  <c r="I8"/>
  <c r="F9"/>
  <c r="I13"/>
  <c r="I14"/>
  <c r="I15"/>
  <c r="F16"/>
  <c r="I16"/>
  <c r="I17" s="1"/>
  <c r="I18" s="1"/>
  <c r="E20"/>
  <c r="G20"/>
  <c r="I21" l="1"/>
  <c r="H20"/>
  <c r="I23"/>
  <c r="I22" l="1"/>
  <c r="I24"/>
  <c r="I25" s="1"/>
</calcChain>
</file>

<file path=xl/sharedStrings.xml><?xml version="1.0" encoding="utf-8"?>
<sst xmlns="http://schemas.openxmlformats.org/spreadsheetml/2006/main" count="35" uniqueCount="32">
  <si>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</si>
  <si>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</si>
  <si>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</si>
  <si>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</si>
  <si>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</si>
  <si>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</si>
  <si>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</si>
  <si>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</si>
  <si>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</si>
  <si>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</si>
  <si>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</si>
  <si>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</si>
  <si>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</si>
  <si>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</si>
  <si>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</si>
  <si>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</si>
  <si>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</si>
  <si>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</si>
  <si>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Factory / shops and basement</t>
  </si>
  <si>
    <t>Various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</si>
  <si>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</si>
  <si>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</si>
  <si>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</si>
  <si>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</si>
  <si>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</si>
  <si>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</si>
  <si>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</si>
  <si>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</si>
  <si>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</si>
  <si>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</si>
  <si>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Bellmore CC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</si>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</sst>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0" fontId="5" fillId="0" borderId="37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0" fontId="0" fillId="0" borderId="0" xfId="0" applyNumberFormat="1"/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0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VU180"/>
  <sheetViews>
    <sheetView tabSelected="1" workbookViewId="0">
      <selection activeCell="A10" sqref="A10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3" t="s">
        <v>31</v>
      </c>
      <c r="B1" s="132" t="s">
        <v>30</v>
      </c>
      <c r="C1" s="132"/>
      <c r="D1" s="132"/>
      <c r="E1" s="130"/>
      <c r="F1" s="130"/>
      <c r="G1" s="131">
        <v>70000973</v>
      </c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40731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 ht="26.25">
      <c r="A4" s="117" t="s">
        <v>19</v>
      </c>
      <c r="B4" s="116" t="s">
        <v>18</v>
      </c>
      <c r="C4" s="111"/>
      <c r="D4" s="111" t="s">
        <v>17</v>
      </c>
      <c r="E4" s="111" t="s">
        <v>17</v>
      </c>
      <c r="F4" s="118">
        <v>896</v>
      </c>
      <c r="G4" s="114">
        <v>80</v>
      </c>
      <c r="H4" s="113"/>
      <c r="I4" s="107">
        <f>G4*F4</f>
        <v>71680</v>
      </c>
      <c r="J4" s="16"/>
      <c r="L4" s="100"/>
      <c r="M4" s="99"/>
    </row>
    <row r="5" spans="1:13" s="1" customFormat="1">
      <c r="A5" s="117"/>
      <c r="B5" s="116"/>
      <c r="C5" s="111"/>
      <c r="D5" s="111"/>
      <c r="E5" s="111"/>
      <c r="F5" s="115"/>
      <c r="G5" s="114"/>
      <c r="H5" s="113"/>
      <c r="I5" s="107">
        <f>G5*F5</f>
        <v>0</v>
      </c>
      <c r="J5" s="16"/>
      <c r="K5" s="2"/>
      <c r="L5" s="100"/>
      <c r="M5" s="99"/>
    </row>
    <row r="6" spans="1:13" s="1" customFormat="1">
      <c r="A6" s="117"/>
      <c r="B6" s="116"/>
      <c r="C6" s="111"/>
      <c r="D6" s="111"/>
      <c r="E6" s="111"/>
      <c r="F6" s="115"/>
      <c r="G6" s="114"/>
      <c r="H6" s="113"/>
      <c r="I6" s="107">
        <f>G6*F6</f>
        <v>0</v>
      </c>
      <c r="J6" s="16"/>
      <c r="K6" s="2"/>
      <c r="L6" s="100"/>
      <c r="M6" s="99"/>
    </row>
    <row r="7" spans="1:13" s="1" customFormat="1">
      <c r="A7" s="117"/>
      <c r="B7" s="116"/>
      <c r="C7" s="111"/>
      <c r="D7" s="111"/>
      <c r="E7" s="111"/>
      <c r="F7" s="115"/>
      <c r="G7" s="114"/>
      <c r="H7" s="113"/>
      <c r="I7" s="107">
        <f>G7*F7</f>
        <v>0</v>
      </c>
      <c r="J7" s="16"/>
      <c r="K7" s="2"/>
      <c r="L7" s="100"/>
      <c r="M7" s="99"/>
    </row>
    <row r="8" spans="1:13" s="1" customFormat="1">
      <c r="A8" s="112"/>
      <c r="B8" s="82"/>
      <c r="C8" s="90"/>
      <c r="D8" s="111"/>
      <c r="E8" s="111"/>
      <c r="F8" s="110"/>
      <c r="G8" s="109"/>
      <c r="H8" s="108"/>
      <c r="I8" s="107">
        <f>G8*F8</f>
        <v>0</v>
      </c>
      <c r="J8" s="16"/>
      <c r="K8" s="106"/>
      <c r="L8" s="100"/>
      <c r="M8" s="99"/>
    </row>
    <row r="9" spans="1:13" s="1" customFormat="1">
      <c r="A9" s="105" t="s">
        <v>5</v>
      </c>
      <c r="B9" s="104"/>
      <c r="C9" s="104"/>
      <c r="D9" s="104"/>
      <c r="E9" s="104"/>
      <c r="F9" s="103">
        <f>F4+F5+F6+F7+F8</f>
        <v>896</v>
      </c>
      <c r="G9" s="102">
        <f>I9/F9</f>
        <v>80</v>
      </c>
      <c r="H9" s="101">
        <v>0</v>
      </c>
      <c r="I9" s="101">
        <f>SUM(I4:I8)</f>
        <v>71680</v>
      </c>
      <c r="J9" s="16"/>
      <c r="L9" s="100"/>
      <c r="M9" s="99"/>
    </row>
    <row r="10" spans="1:13" s="1" customFormat="1">
      <c r="A10" s="98"/>
      <c r="B10" s="97"/>
      <c r="C10" s="97"/>
      <c r="D10" s="97"/>
      <c r="E10" s="96"/>
      <c r="F10" s="95"/>
      <c r="G10" s="94"/>
      <c r="H10" s="79"/>
      <c r="I10" s="78"/>
      <c r="J10" s="16"/>
    </row>
    <row r="11" spans="1:13" s="1" customFormat="1">
      <c r="A11" s="93" t="s">
        <v>16</v>
      </c>
      <c r="B11" s="92"/>
      <c r="C11" s="92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71680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860160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12677.729166666666</v>
      </c>
      <c r="F20" s="50">
        <v>152132.75</v>
      </c>
      <c r="G20" s="49">
        <f>E20/F9</f>
        <v>14.149251302083332</v>
      </c>
      <c r="H20" s="48">
        <f>F20/I18</f>
        <v>0.17686564127604168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0.01</v>
      </c>
      <c r="I21" s="40">
        <f>+I18*-H21</f>
        <v>-8601.6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58285.470833333333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699425.65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0.115</v>
      </c>
      <c r="I24" s="29">
        <f>+I23/H24</f>
        <v>6081962.173913043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6080000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" right="0.7" top="0.75" bottom="0.75" header="0.3" footer="0.3"/>
  <pageSetup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2011-08-24T11:45:56Z</dcterms:created>
  <dcterms:modified xsi:type="dcterms:W3CDTF">2011-08-24T11:48:25Z</dcterms:modified>
</cp:coreProperties>
</file>