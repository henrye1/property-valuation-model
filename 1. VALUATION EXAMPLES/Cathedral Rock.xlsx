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320" yWindow="1125" windowWidth="17115" windowHeight="742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10" s="1"/>
  <c r="G10" s="1"/>
  <c r="F10"/>
  <c r="I14"/>
  <c r="I15"/>
  <c r="I16"/>
  <c r="F17"/>
  <c r="I17"/>
  <c r="E21"/>
  <c r="F21"/>
  <c r="G21"/>
  <c r="I18" l="1"/>
  <c r="I19" s="1"/>
  <c r="H21" s="1"/>
  <c r="I22" l="1"/>
  <c r="I24"/>
  <c r="I25" l="1"/>
  <c r="I26" s="1"/>
  <c r="I23"/>
</calcChain>
</file>

<file path=xl/sharedStrings.xml><?xml version="1.0" encoding="utf-8"?>
<sst xmlns="http://schemas.openxmlformats.org/spreadsheetml/2006/main" count="36" uniqueCount="31">
  <si>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</si>
  <si>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</si>
  <si>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</si>
  <si>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</si>
  <si>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</si>
  <si>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</si>
  <si>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</si>
  <si>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</si>
  <si>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</si>
  <si>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</si>
  <si>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</si>
  <si>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</si>
  <si>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</si>
  <si>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</si>
  <si>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</si>
  <si>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</si>
  <si>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</si>
  <si>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</si>
  <si>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Workshops and 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</si>
  <si>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</si>
  <si>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</si>
  <si>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</si>
  <si>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</si>
  <si>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</si>
  <si>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</si>
  <si>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</si>
  <si>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</si>
  <si>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</si>
  <si>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</si>
  <si>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Cathedral Rock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</si>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</sst>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D5" sqref="D5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30</v>
      </c>
      <c r="B1" s="131" t="s">
        <v>29</v>
      </c>
      <c r="C1" s="131"/>
      <c r="D1" s="131"/>
      <c r="E1" s="130"/>
      <c r="F1" s="130"/>
      <c r="G1" s="130"/>
      <c r="H1" s="130"/>
      <c r="I1" s="129"/>
      <c r="J1" s="16"/>
    </row>
    <row r="2" spans="1:13" s="1" customFormat="1" ht="20.25" customHeight="1" thickBot="1">
      <c r="A2" s="128" t="s">
        <v>28</v>
      </c>
      <c r="B2" s="126"/>
      <c r="C2" s="126"/>
      <c r="D2" s="126"/>
      <c r="E2" s="127">
        <v>40743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27</v>
      </c>
      <c r="B3" s="123" t="s">
        <v>26</v>
      </c>
      <c r="C3" s="123" t="s">
        <v>25</v>
      </c>
      <c r="D3" s="123" t="s">
        <v>24</v>
      </c>
      <c r="E3" s="123" t="s">
        <v>23</v>
      </c>
      <c r="F3" s="122" t="s">
        <v>22</v>
      </c>
      <c r="G3" s="121" t="s">
        <v>21</v>
      </c>
      <c r="H3" s="120" t="s">
        <v>20</v>
      </c>
      <c r="I3" s="119" t="s">
        <v>19</v>
      </c>
      <c r="J3" s="16"/>
    </row>
    <row r="4" spans="1:13" s="1" customFormat="1" ht="26.25">
      <c r="A4" s="116" t="s">
        <v>18</v>
      </c>
      <c r="B4" s="116" t="s">
        <v>18</v>
      </c>
      <c r="C4" s="109" t="s">
        <v>17</v>
      </c>
      <c r="D4" s="109" t="s">
        <v>17</v>
      </c>
      <c r="E4" s="109" t="s">
        <v>17</v>
      </c>
      <c r="F4" s="118">
        <v>1774</v>
      </c>
      <c r="G4" s="113">
        <v>35</v>
      </c>
      <c r="H4" s="112"/>
      <c r="I4" s="105">
        <f>G4*F4</f>
        <v>62090</v>
      </c>
      <c r="J4" s="16"/>
      <c r="L4" s="99"/>
      <c r="M4" s="98"/>
    </row>
    <row r="5" spans="1:13" s="1" customFormat="1">
      <c r="A5" s="116"/>
      <c r="B5" s="116"/>
      <c r="C5" s="109"/>
      <c r="D5" s="109"/>
      <c r="E5" s="109"/>
      <c r="F5" s="117"/>
      <c r="G5" s="113"/>
      <c r="H5" s="112"/>
      <c r="I5" s="105"/>
      <c r="J5" s="16"/>
      <c r="L5" s="99"/>
      <c r="M5" s="98"/>
    </row>
    <row r="6" spans="1:13" s="1" customFormat="1">
      <c r="A6" s="116"/>
      <c r="B6" s="116"/>
      <c r="C6" s="109"/>
      <c r="D6" s="109"/>
      <c r="E6" s="109"/>
      <c r="F6" s="117"/>
      <c r="G6" s="113"/>
      <c r="H6" s="112"/>
      <c r="I6" s="105"/>
      <c r="J6" s="16"/>
      <c r="L6" s="99"/>
      <c r="M6" s="98"/>
    </row>
    <row r="7" spans="1:13" s="1" customFormat="1">
      <c r="A7" s="116"/>
      <c r="B7" s="115"/>
      <c r="C7" s="109"/>
      <c r="D7" s="109"/>
      <c r="E7" s="109"/>
      <c r="F7" s="117"/>
      <c r="G7" s="113"/>
      <c r="H7" s="112"/>
      <c r="I7" s="105"/>
      <c r="J7" s="16"/>
      <c r="L7" s="99"/>
      <c r="M7" s="98"/>
    </row>
    <row r="8" spans="1:13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3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3" s="1" customFormat="1">
      <c r="A10" s="104" t="s">
        <v>5</v>
      </c>
      <c r="B10" s="82"/>
      <c r="C10" s="103"/>
      <c r="D10" s="103"/>
      <c r="E10" s="103"/>
      <c r="F10" s="102">
        <f>SUM(F4:F9)</f>
        <v>1774</v>
      </c>
      <c r="G10" s="101">
        <f>I10/F10</f>
        <v>35</v>
      </c>
      <c r="H10" s="100">
        <v>0</v>
      </c>
      <c r="I10" s="100">
        <f>SUM(I4:I9)</f>
        <v>62090</v>
      </c>
      <c r="J10" s="16"/>
      <c r="L10" s="99"/>
      <c r="M10" s="98"/>
    </row>
    <row r="11" spans="1:13" s="1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</row>
    <row r="12" spans="1:13" s="1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</row>
    <row r="13" spans="1:13" s="1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7"/>
      <c r="B15" s="86"/>
      <c r="C15" s="86"/>
      <c r="D15" s="86"/>
      <c r="E15" s="85" t="s">
        <v>12</v>
      </c>
      <c r="F15" s="81"/>
      <c r="G15" s="80"/>
      <c r="H15" s="79"/>
      <c r="I15" s="78">
        <f>G15*F15</f>
        <v>0</v>
      </c>
      <c r="J15" s="16"/>
    </row>
    <row r="16" spans="1:13" s="1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</row>
    <row r="17" spans="1:15" s="1" customFormat="1" ht="15.75" thickBot="1">
      <c r="A17" s="77" t="s">
        <v>5</v>
      </c>
      <c r="B17" s="76"/>
      <c r="C17" s="76"/>
      <c r="D17" s="76"/>
      <c r="E17" s="75"/>
      <c r="F17" s="74">
        <f>SUM(F13:F16)</f>
        <v>0</v>
      </c>
      <c r="G17" s="73"/>
      <c r="H17" s="72"/>
      <c r="I17" s="71">
        <f>SUM(I13:I16)</f>
        <v>0</v>
      </c>
      <c r="J17" s="16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62090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745080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f>162808/12</f>
        <v>13567.333333333334</v>
      </c>
      <c r="F21" s="50">
        <f>E21*12</f>
        <v>162808</v>
      </c>
      <c r="G21" s="49">
        <f>E21/F10</f>
        <v>7.6478767380683959</v>
      </c>
      <c r="H21" s="48">
        <f>F21/I19</f>
        <v>0.21851076394481131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0.02</v>
      </c>
      <c r="I22" s="40">
        <f>+I19*-H22</f>
        <v>-14901.6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47280.866666666669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567370.4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0.12</v>
      </c>
      <c r="I25" s="29">
        <f>+I24/H25</f>
        <v>4728086.666666667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4730000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s="1" customFormat="1">
      <c r="A34" s="2"/>
      <c r="B34" s="7"/>
      <c r="C34" s="6"/>
      <c r="D34" s="6"/>
      <c r="F34" s="3"/>
      <c r="G34" s="4"/>
      <c r="H34" s="4"/>
    </row>
    <row r="35" spans="1:15" s="1" customFormat="1">
      <c r="A35" s="2"/>
      <c r="B35" s="6"/>
      <c r="C35" s="6"/>
      <c r="D35" s="6"/>
      <c r="F35" s="3"/>
      <c r="G35" s="4"/>
      <c r="H35" s="4"/>
    </row>
    <row r="36" spans="1:15" s="1" customFormat="1">
      <c r="A36" s="2"/>
      <c r="B36" s="5"/>
      <c r="C36" s="5"/>
      <c r="D36" s="5"/>
      <c r="F36" s="3"/>
      <c r="G36" s="4"/>
      <c r="H36" s="4"/>
    </row>
    <row r="37" spans="1:15" s="1" customFormat="1">
      <c r="A37" s="2"/>
      <c r="B37" s="5"/>
      <c r="C37" s="5"/>
      <c r="D37" s="5"/>
      <c r="F37" s="3"/>
      <c r="G37" s="4"/>
      <c r="H37" s="4"/>
    </row>
    <row r="38" spans="1:15" s="1" customFormat="1">
      <c r="A38" s="2"/>
      <c r="B38" s="5"/>
      <c r="C38" s="5"/>
      <c r="D38" s="5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2011-08-24T12:19:46Z</dcterms:created>
  <dcterms:modified xsi:type="dcterms:W3CDTF">2011-08-24T12:25:57Z</dcterms:modified>
</cp:coreProperties>
</file>