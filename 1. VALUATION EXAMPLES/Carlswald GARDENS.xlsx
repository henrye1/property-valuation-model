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480" yWindow="3420" windowWidth="14955" windowHeight="513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I14"/>
  <c r="I15"/>
  <c r="I16"/>
  <c r="F17"/>
  <c r="I17"/>
  <c r="I18" s="1"/>
  <c r="I19" s="1"/>
  <c r="E21"/>
  <c r="F21"/>
  <c r="G21"/>
  <c r="H21" l="1"/>
  <c r="I22"/>
  <c r="I24" s="1"/>
  <c r="I25" l="1"/>
  <c r="I26" s="1"/>
  <c r="I23"/>
</calcChain>
</file>

<file path=xl/sharedStrings.xml><?xml version="1.0" encoding="utf-8"?>
<sst xmlns="http://schemas.openxmlformats.org/spreadsheetml/2006/main" count="36" uniqueCount="32">
  <si>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</si>
  <si>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</si>
  <si>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</si>
  <si>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</si>
  <si>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</si>
  <si>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</si>
  <si>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</si>
  <si>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</si>
  <si>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</si>
  <si>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</si>
  <si>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</si>
  <si>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</si>
  <si>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</si>
  <si>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</si>
  <si>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</si>
  <si>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</si>
  <si>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</si>
  <si>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</si>
  <si>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</si>
  <si>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</si>
  <si>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</si>
  <si>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</si>
  <si>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</si>
  <si>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</si>
  <si>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</si>
  <si>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</si>
  <si>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</si>
  <si>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</si>
  <si>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</si>
  <si>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</si>
  <si>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Carlswald GARDENS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</si>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</sst>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3" sqref="B13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31</v>
      </c>
      <c r="B1" s="125" t="s">
        <v>30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29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28</v>
      </c>
      <c r="B3" s="117" t="s">
        <v>27</v>
      </c>
      <c r="C3" s="117" t="s">
        <v>26</v>
      </c>
      <c r="D3" s="117" t="s">
        <v>25</v>
      </c>
      <c r="E3" s="117" t="s">
        <v>24</v>
      </c>
      <c r="F3" s="116" t="s">
        <v>23</v>
      </c>
      <c r="G3" s="115" t="s">
        <v>22</v>
      </c>
      <c r="H3" s="114" t="s">
        <v>21</v>
      </c>
      <c r="I3" s="113" t="s">
        <v>20</v>
      </c>
      <c r="J3" s="10"/>
    </row>
    <row r="4" spans="1:13" s="1" customFormat="1">
      <c r="A4" s="110"/>
      <c r="B4" s="110" t="s">
        <v>19</v>
      </c>
      <c r="C4" s="103" t="s">
        <v>18</v>
      </c>
      <c r="D4" s="103" t="s">
        <v>18</v>
      </c>
      <c r="E4" s="103" t="s">
        <v>18</v>
      </c>
      <c r="F4" s="112">
        <v>523</v>
      </c>
      <c r="G4" s="107">
        <v>100</v>
      </c>
      <c r="H4" s="106"/>
      <c r="I4" s="99">
        <f>G4*F4</f>
        <v>52300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523</v>
      </c>
      <c r="G10" s="95">
        <f>I10/F10</f>
        <v>100</v>
      </c>
      <c r="H10" s="94">
        <v>0</v>
      </c>
      <c r="I10" s="94">
        <f>SUM(I4:I9)</f>
        <v>52300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13</v>
      </c>
      <c r="G15" s="74">
        <v>500</v>
      </c>
      <c r="H15" s="73"/>
      <c r="I15" s="72">
        <f>G15*F15</f>
        <v>6500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13</v>
      </c>
      <c r="G17" s="67"/>
      <c r="H17" s="66"/>
      <c r="I17" s="65">
        <f>SUM(I13:I16)</f>
        <v>6500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58800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705600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109417/12</f>
        <v>9118.0833333333339</v>
      </c>
      <c r="F21" s="44">
        <f>E21*12</f>
        <v>109417</v>
      </c>
      <c r="G21" s="43">
        <f>E21/F10</f>
        <v>17.434193753983429</v>
      </c>
      <c r="H21" s="42">
        <f>F21/I19</f>
        <v>0.15506944444444445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0.01</v>
      </c>
      <c r="I22" s="34">
        <f>+I19*-H22</f>
        <v>-7056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49093.916666666664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589127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0.105</v>
      </c>
      <c r="I25" s="23">
        <f>+I24/H25</f>
        <v>5610733.333333334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5610000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2011-08-24T12:20:46Z</dcterms:created>
  <dcterms:modified xsi:type="dcterms:W3CDTF">2011-08-24T12:21:02Z</dcterms:modified>
</cp:coreProperties>
</file>