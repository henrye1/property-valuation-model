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F11" i="1"/>
  <c r="G22" i="1" s="1"/>
  <c r="I11" i="1"/>
  <c r="G11" i="1" s="1"/>
  <c r="I15" i="1"/>
  <c r="I16" i="1"/>
  <c r="I18" i="1" s="1"/>
  <c r="I19" i="1" s="1"/>
  <c r="I20" i="1" s="1"/>
  <c r="F18" i="1"/>
  <c r="E22" i="1"/>
  <c r="F22" i="1"/>
  <c r="H22" i="1" l="1"/>
  <c r="I23" i="1"/>
  <c r="I25" i="1" s="1"/>
  <c r="I24" i="1" l="1"/>
  <c r="I26" i="1"/>
  <c r="I27" i="1" s="1"/>
  <c r="I29" i="1" s="1"/>
</calcChain>
</file>

<file path=xl/sharedStrings.xml><?xml version="1.0" encoding="utf-8"?>
<sst xmlns="http://schemas.openxmlformats.org/spreadsheetml/2006/main" count="46" uniqueCount="38">
  <si>
    <t>Rounded</t>
  </si>
  <si>
    <t>Sum</t>
  </si>
  <si>
    <t>Added bulk value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</si>
  <si>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</si>
  <si>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</si>
  <si>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</si>
  <si>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</si>
  <si>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</si>
  <si>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</si>
  <si>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</si>
  <si>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</si>
  <si>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</si>
  <si>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</si>
  <si>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</si>
  <si>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</si>
  <si>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</si>
  <si>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</si>
  <si>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</si>
  <si>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</si>
  <si>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</si>
  <si>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18</t>
  </si>
  <si>
    <t>n/a</t>
  </si>
  <si>
    <t>Owner</t>
  </si>
  <si>
    <t>Outer building</t>
  </si>
  <si>
    <t>30</t>
  </si>
  <si>
    <t>Offices Workshops and Store room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</si>
  <si>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</si>
  <si>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</si>
  <si>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</si>
  <si>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</si>
  <si>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</si>
  <si>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</si>
  <si>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</si>
  <si>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</si>
  <si>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</si>
  <si>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</si>
  <si>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Alliance Mining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</si>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</sst>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 &quot;R&quot;\ * #,##0_ ;_ &quot;R&quot;\ * \-#,##0_ ;_ &quot;R&quot;\ * &quot;-&quot;_ ;_ @_ "/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67" fontId="5" fillId="2" borderId="0" xfId="0" applyNumberFormat="1" applyFont="1" applyFill="1" applyBorder="1" applyAlignment="1">
      <alignment horizontal="right"/>
    </xf>
    <xf numFmtId="14" fontId="0" fillId="0" borderId="0" xfId="0" applyNumberFormat="1" applyBorder="1"/>
    <xf numFmtId="166" fontId="4" fillId="0" borderId="4" xfId="0" applyNumberFormat="1" applyFont="1" applyBorder="1"/>
    <xf numFmtId="10" fontId="4" fillId="3" borderId="5" xfId="1" applyNumberFormat="1" applyFont="1" applyFill="1" applyBorder="1"/>
    <xf numFmtId="9" fontId="4" fillId="0" borderId="5" xfId="1" applyFont="1" applyBorder="1"/>
    <xf numFmtId="49" fontId="4" fillId="0" borderId="5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wrapText="1"/>
    </xf>
    <xf numFmtId="167" fontId="5" fillId="2" borderId="7" xfId="0" applyNumberFormat="1" applyFont="1" applyFill="1" applyBorder="1" applyAlignment="1">
      <alignment horizontal="right"/>
    </xf>
    <xf numFmtId="42" fontId="6" fillId="0" borderId="8" xfId="0" applyNumberFormat="1" applyFont="1" applyBorder="1"/>
    <xf numFmtId="10" fontId="6" fillId="3" borderId="9" xfId="1" applyNumberFormat="1" applyFont="1" applyFill="1" applyBorder="1"/>
    <xf numFmtId="9" fontId="6" fillId="0" borderId="0" xfId="1" applyFont="1" applyBorder="1"/>
    <xf numFmtId="49" fontId="6" fillId="0" borderId="0" xfId="0" applyNumberFormat="1" applyFont="1" applyBorder="1" applyAlignment="1">
      <alignment horizontal="left" wrapText="1"/>
    </xf>
    <xf numFmtId="49" fontId="7" fillId="0" borderId="0" xfId="0" applyNumberFormat="1" applyFont="1" applyBorder="1" applyAlignment="1">
      <alignment horizontal="left" wrapText="1"/>
    </xf>
    <xf numFmtId="49" fontId="8" fillId="0" borderId="10" xfId="0" applyNumberFormat="1" applyFont="1" applyBorder="1" applyAlignment="1">
      <alignment wrapText="1"/>
    </xf>
    <xf numFmtId="166" fontId="6" fillId="0" borderId="11" xfId="0" applyNumberFormat="1" applyFont="1" applyBorder="1"/>
    <xf numFmtId="10" fontId="6" fillId="3" borderId="12" xfId="1" applyNumberFormat="1" applyFont="1" applyFill="1" applyBorder="1"/>
    <xf numFmtId="164" fontId="6" fillId="0" borderId="13" xfId="0" applyNumberFormat="1" applyFont="1" applyBorder="1"/>
    <xf numFmtId="49" fontId="6" fillId="0" borderId="13" xfId="0" applyNumberFormat="1" applyFont="1" applyBorder="1" applyAlignment="1">
      <alignment horizontal="left" wrapText="1"/>
    </xf>
    <xf numFmtId="49" fontId="7" fillId="0" borderId="13" xfId="0" applyNumberFormat="1" applyFont="1" applyBorder="1" applyAlignment="1">
      <alignment horizontal="left" wrapText="1"/>
    </xf>
    <xf numFmtId="49" fontId="8" fillId="0" borderId="14" xfId="0" applyNumberFormat="1" applyFont="1" applyBorder="1" applyAlignment="1">
      <alignment horizontal="left" wrapText="1"/>
    </xf>
    <xf numFmtId="166" fontId="7" fillId="0" borderId="11" xfId="0" applyNumberFormat="1" applyFont="1" applyBorder="1"/>
    <xf numFmtId="9" fontId="7" fillId="0" borderId="13" xfId="1" applyFont="1" applyBorder="1"/>
    <xf numFmtId="164" fontId="7" fillId="0" borderId="13" xfId="0" applyNumberFormat="1" applyFont="1" applyBorder="1"/>
    <xf numFmtId="4" fontId="0" fillId="0" borderId="0" xfId="0" applyNumberFormat="1"/>
    <xf numFmtId="166" fontId="7" fillId="0" borderId="15" xfId="0" applyNumberFormat="1" applyFont="1" applyBorder="1"/>
    <xf numFmtId="10" fontId="6" fillId="3" borderId="16" xfId="1" applyNumberFormat="1" applyFont="1" applyFill="1" applyBorder="1"/>
    <xf numFmtId="9" fontId="7" fillId="0" borderId="17" xfId="1" applyFont="1" applyBorder="1"/>
    <xf numFmtId="49" fontId="7" fillId="0" borderId="17" xfId="0" applyNumberFormat="1" applyFont="1" applyBorder="1" applyAlignment="1">
      <alignment wrapText="1"/>
    </xf>
    <xf numFmtId="49" fontId="7" fillId="0" borderId="17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49" fontId="8" fillId="0" borderId="18" xfId="0" applyNumberFormat="1" applyFont="1" applyBorder="1" applyAlignment="1">
      <alignment horizontal="left" wrapText="1"/>
    </xf>
    <xf numFmtId="166" fontId="7" fillId="0" borderId="19" xfId="0" applyNumberFormat="1" applyFont="1" applyBorder="1"/>
    <xf numFmtId="10" fontId="6" fillId="3" borderId="20" xfId="1" applyNumberFormat="1" applyFont="1" applyFill="1" applyBorder="1"/>
    <xf numFmtId="9" fontId="7" fillId="0" borderId="21" xfId="1" applyFont="1" applyBorder="1"/>
    <xf numFmtId="49" fontId="7" fillId="0" borderId="21" xfId="0" applyNumberFormat="1" applyFont="1" applyBorder="1" applyAlignment="1">
      <alignment wrapText="1"/>
    </xf>
    <xf numFmtId="49" fontId="7" fillId="0" borderId="21" xfId="0" applyNumberFormat="1" applyFont="1" applyBorder="1" applyAlignment="1">
      <alignment horizontal="left" wrapText="1"/>
    </xf>
    <xf numFmtId="49" fontId="6" fillId="0" borderId="21" xfId="0" applyNumberFormat="1" applyFont="1" applyBorder="1" applyAlignment="1">
      <alignment horizontal="left" wrapText="1"/>
    </xf>
    <xf numFmtId="49" fontId="8" fillId="0" borderId="22" xfId="0" applyNumberFormat="1" applyFont="1" applyBorder="1" applyAlignment="1">
      <alignment horizontal="left" wrapText="1"/>
    </xf>
    <xf numFmtId="166" fontId="7" fillId="0" borderId="23" xfId="0" applyNumberFormat="1" applyFont="1" applyBorder="1"/>
    <xf numFmtId="10" fontId="7" fillId="0" borderId="24" xfId="1" applyNumberFormat="1" applyFont="1" applyBorder="1"/>
    <xf numFmtId="168" fontId="7" fillId="0" borderId="2" xfId="0" applyNumberFormat="1" applyFont="1" applyBorder="1" applyAlignment="1">
      <alignment horizontal="right" wrapText="1"/>
    </xf>
    <xf numFmtId="165" fontId="7" fillId="4" borderId="2" xfId="0" applyNumberFormat="1" applyFont="1" applyFill="1" applyBorder="1" applyAlignment="1">
      <alignment horizontal="right" wrapText="1"/>
    </xf>
    <xf numFmtId="49" fontId="7" fillId="0" borderId="25" xfId="0" applyNumberFormat="1" applyFont="1" applyBorder="1" applyAlignment="1">
      <alignment horizontal="left" wrapText="1"/>
    </xf>
    <xf numFmtId="49" fontId="2" fillId="0" borderId="26" xfId="0" applyNumberFormat="1" applyFont="1" applyBorder="1" applyAlignment="1">
      <alignment horizontal="left" wrapText="1"/>
    </xf>
    <xf numFmtId="166" fontId="7" fillId="0" borderId="27" xfId="0" applyNumberFormat="1" applyFont="1" applyBorder="1"/>
    <xf numFmtId="164" fontId="7" fillId="0" borderId="28" xfId="0" applyNumberFormat="1" applyFont="1" applyBorder="1"/>
    <xf numFmtId="10" fontId="6" fillId="0" borderId="29" xfId="1" applyNumberFormat="1" applyFont="1" applyBorder="1" applyAlignment="1">
      <alignment horizontal="center"/>
    </xf>
    <xf numFmtId="49" fontId="6" fillId="0" borderId="29" xfId="0" applyNumberFormat="1" applyFont="1" applyBorder="1" applyAlignment="1">
      <alignment horizontal="center" wrapText="1"/>
    </xf>
    <xf numFmtId="49" fontId="6" fillId="0" borderId="30" xfId="0" applyNumberFormat="1" applyFont="1" applyBorder="1" applyAlignment="1">
      <alignment horizontal="left" wrapText="1"/>
    </xf>
    <xf numFmtId="49" fontId="8" fillId="0" borderId="31" xfId="0" applyNumberFormat="1" applyFont="1" applyBorder="1" applyAlignment="1">
      <alignment horizontal="left" wrapText="1"/>
    </xf>
    <xf numFmtId="166" fontId="6" fillId="0" borderId="32" xfId="0" applyNumberFormat="1" applyFont="1" applyBorder="1"/>
    <xf numFmtId="14" fontId="6" fillId="0" borderId="33" xfId="0" applyNumberFormat="1" applyFont="1" applyBorder="1"/>
    <xf numFmtId="164" fontId="6" fillId="0" borderId="33" xfId="0" applyNumberFormat="1" applyFont="1" applyBorder="1"/>
    <xf numFmtId="49" fontId="6" fillId="0" borderId="34" xfId="0" applyNumberFormat="1" applyFont="1" applyBorder="1" applyAlignment="1">
      <alignment horizontal="centerContinuous" wrapText="1"/>
    </xf>
    <xf numFmtId="49" fontId="6" fillId="0" borderId="34" xfId="0" applyNumberFormat="1" applyFont="1" applyBorder="1" applyAlignment="1">
      <alignment horizontal="left" wrapText="1"/>
    </xf>
    <xf numFmtId="14" fontId="6" fillId="0" borderId="34" xfId="0" applyNumberFormat="1" applyFont="1" applyBorder="1"/>
    <xf numFmtId="14" fontId="8" fillId="0" borderId="35" xfId="0" applyNumberFormat="1" applyFont="1" applyBorder="1"/>
    <xf numFmtId="164" fontId="6" fillId="0" borderId="32" xfId="0" applyNumberFormat="1" applyFont="1" applyBorder="1"/>
    <xf numFmtId="1" fontId="6" fillId="0" borderId="33" xfId="0" applyNumberFormat="1" applyFont="1" applyBorder="1"/>
    <xf numFmtId="49" fontId="6" fillId="0" borderId="32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49" fontId="8" fillId="0" borderId="36" xfId="0" applyNumberFormat="1" applyFont="1" applyBorder="1" applyAlignment="1">
      <alignment horizontal="left" wrapText="1"/>
    </xf>
    <xf numFmtId="166" fontId="6" fillId="5" borderId="32" xfId="0" applyNumberFormat="1" applyFont="1" applyFill="1" applyBorder="1"/>
    <xf numFmtId="164" fontId="6" fillId="5" borderId="33" xfId="0" applyNumberFormat="1" applyFont="1" applyFill="1" applyBorder="1"/>
    <xf numFmtId="164" fontId="6" fillId="5" borderId="32" xfId="0" applyNumberFormat="1" applyFont="1" applyFill="1" applyBorder="1"/>
    <xf numFmtId="1" fontId="6" fillId="5" borderId="33" xfId="0" applyNumberFormat="1" applyFont="1" applyFill="1" applyBorder="1"/>
    <xf numFmtId="49" fontId="6" fillId="5" borderId="32" xfId="0" applyNumberFormat="1" applyFont="1" applyFill="1" applyBorder="1" applyAlignment="1">
      <alignment horizontal="left" wrapText="1"/>
    </xf>
    <xf numFmtId="49" fontId="7" fillId="0" borderId="33" xfId="0" applyNumberFormat="1" applyFont="1" applyBorder="1" applyAlignment="1">
      <alignment horizontal="left" wrapText="1"/>
    </xf>
    <xf numFmtId="49" fontId="2" fillId="0" borderId="36" xfId="0" applyNumberFormat="1" applyFont="1" applyBorder="1" applyAlignment="1">
      <alignment horizontal="left" wrapText="1"/>
    </xf>
    <xf numFmtId="166" fontId="7" fillId="0" borderId="37" xfId="0" applyNumberFormat="1" applyFont="1" applyBorder="1"/>
    <xf numFmtId="164" fontId="7" fillId="0" borderId="0" xfId="0" applyNumberFormat="1" applyFont="1" applyBorder="1"/>
    <xf numFmtId="164" fontId="7" fillId="0" borderId="37" xfId="0" applyNumberFormat="1" applyFont="1" applyBorder="1"/>
    <xf numFmtId="1" fontId="7" fillId="0" borderId="0" xfId="0" applyNumberFormat="1" applyFont="1" applyBorder="1"/>
    <xf numFmtId="49" fontId="7" fillId="0" borderId="38" xfId="0" applyNumberFormat="1" applyFont="1" applyBorder="1" applyAlignment="1">
      <alignment horizontal="left" wrapText="1"/>
    </xf>
    <xf numFmtId="49" fontId="7" fillId="0" borderId="39" xfId="0" applyNumberFormat="1" applyFont="1" applyBorder="1" applyAlignment="1">
      <alignment horizontal="right" wrapText="1"/>
    </xf>
    <xf numFmtId="49" fontId="2" fillId="0" borderId="40" xfId="0" applyNumberFormat="1" applyFont="1" applyBorder="1" applyAlignment="1">
      <alignment horizontal="right" wrapText="1"/>
    </xf>
    <xf numFmtId="49" fontId="7" fillId="0" borderId="37" xfId="0" applyNumberFormat="1" applyFont="1" applyBorder="1" applyAlignment="1">
      <alignment horizontal="left" wrapText="1"/>
    </xf>
    <xf numFmtId="49" fontId="7" fillId="0" borderId="0" xfId="0" applyNumberFormat="1" applyFont="1" applyBorder="1" applyAlignment="1">
      <alignment horizontal="right" wrapText="1"/>
    </xf>
    <xf numFmtId="49" fontId="2" fillId="0" borderId="10" xfId="0" applyNumberFormat="1" applyFont="1" applyBorder="1" applyAlignment="1">
      <alignment horizontal="right" wrapText="1"/>
    </xf>
    <xf numFmtId="164" fontId="6" fillId="0" borderId="38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49" fontId="7" fillId="0" borderId="38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center" wrapText="1"/>
    </xf>
    <xf numFmtId="49" fontId="8" fillId="0" borderId="40" xfId="0" applyNumberFormat="1" applyFont="1" applyBorder="1" applyAlignment="1">
      <alignment horizontal="center" wrapText="1"/>
    </xf>
    <xf numFmtId="164" fontId="7" fillId="4" borderId="41" xfId="0" applyNumberFormat="1" applyFont="1" applyFill="1" applyBorder="1"/>
    <xf numFmtId="1" fontId="7" fillId="4" borderId="42" xfId="0" applyNumberFormat="1" applyFont="1" applyFill="1" applyBorder="1"/>
    <xf numFmtId="49" fontId="7" fillId="4" borderId="41" xfId="0" applyNumberFormat="1" applyFont="1" applyFill="1" applyBorder="1" applyAlignment="1">
      <alignment horizontal="left" wrapText="1"/>
    </xf>
    <xf numFmtId="49" fontId="7" fillId="4" borderId="42" xfId="0" applyNumberFormat="1" applyFont="1" applyFill="1" applyBorder="1" applyAlignment="1">
      <alignment horizontal="left" wrapText="1"/>
    </xf>
    <xf numFmtId="49" fontId="2" fillId="4" borderId="43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7" fillId="0" borderId="41" xfId="0" applyNumberFormat="1" applyFont="1" applyBorder="1"/>
    <xf numFmtId="165" fontId="7" fillId="0" borderId="44" xfId="0" applyNumberFormat="1" applyFont="1" applyBorder="1"/>
    <xf numFmtId="4" fontId="7" fillId="0" borderId="37" xfId="0" applyNumberFormat="1" applyFont="1" applyBorder="1"/>
    <xf numFmtId="3" fontId="7" fillId="0" borderId="42" xfId="0" applyNumberFormat="1" applyFont="1" applyBorder="1"/>
    <xf numFmtId="49" fontId="7" fillId="0" borderId="41" xfId="0" applyNumberFormat="1" applyFont="1" applyBorder="1" applyAlignment="1">
      <alignment horizontal="left" wrapText="1"/>
    </xf>
    <xf numFmtId="49" fontId="2" fillId="0" borderId="40" xfId="0" applyNumberFormat="1" applyFont="1" applyBorder="1" applyAlignment="1">
      <alignment horizontal="left" wrapText="1"/>
    </xf>
    <xf numFmtId="166" fontId="2" fillId="0" borderId="37" xfId="0" applyNumberFormat="1" applyFont="1" applyBorder="1"/>
    <xf numFmtId="4" fontId="7" fillId="0" borderId="39" xfId="0" applyNumberFormat="1" applyFont="1" applyBorder="1"/>
    <xf numFmtId="4" fontId="7" fillId="0" borderId="38" xfId="0" applyNumberFormat="1" applyFont="1" applyBorder="1"/>
    <xf numFmtId="3" fontId="7" fillId="0" borderId="39" xfId="0" applyNumberFormat="1" applyFont="1" applyBorder="1"/>
    <xf numFmtId="49" fontId="2" fillId="0" borderId="37" xfId="0" applyNumberFormat="1" applyFont="1" applyBorder="1" applyAlignment="1">
      <alignment horizontal="center" wrapText="1"/>
    </xf>
    <xf numFmtId="49" fontId="7" fillId="0" borderId="45" xfId="0" applyNumberFormat="1" applyFont="1" applyBorder="1" applyAlignment="1">
      <alignment horizontal="left" wrapText="1"/>
    </xf>
    <xf numFmtId="49" fontId="2" fillId="0" borderId="32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wrapText="1"/>
    </xf>
    <xf numFmtId="49" fontId="7" fillId="0" borderId="37" xfId="0" applyNumberFormat="1" applyFont="1" applyBorder="1" applyAlignment="1">
      <alignment horizontal="right" wrapText="1"/>
    </xf>
    <xf numFmtId="0" fontId="7" fillId="0" borderId="0" xfId="0" applyNumberFormat="1" applyFont="1" applyBorder="1" applyAlignment="1">
      <alignment horizontal="center" wrapText="1"/>
    </xf>
    <xf numFmtId="14" fontId="7" fillId="0" borderId="37" xfId="0" applyNumberFormat="1" applyFont="1" applyBorder="1" applyAlignment="1">
      <alignment horizontal="center" wrapText="1"/>
    </xf>
    <xf numFmtId="14" fontId="7" fillId="0" borderId="0" xfId="0" applyNumberFormat="1" applyFont="1" applyBorder="1" applyAlignment="1">
      <alignment horizontal="center" wrapText="1"/>
    </xf>
    <xf numFmtId="14" fontId="2" fillId="0" borderId="37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7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49" fontId="6" fillId="0" borderId="37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6" fillId="0" borderId="37" xfId="0" applyNumberFormat="1" applyFont="1" applyBorder="1" applyAlignment="1">
      <alignment horizontal="center" wrapText="1"/>
    </xf>
    <xf numFmtId="14" fontId="8" fillId="0" borderId="46" xfId="0" applyNumberFormat="1" applyFont="1" applyBorder="1" applyAlignment="1">
      <alignment horizontal="center"/>
    </xf>
    <xf numFmtId="49" fontId="6" fillId="0" borderId="32" xfId="0" applyNumberFormat="1" applyFont="1" applyBorder="1" applyAlignment="1">
      <alignment horizontal="center" wrapText="1"/>
    </xf>
    <xf numFmtId="49" fontId="6" fillId="0" borderId="33" xfId="0" applyNumberFormat="1" applyFont="1" applyBorder="1" applyAlignment="1">
      <alignment wrapText="1"/>
    </xf>
    <xf numFmtId="49" fontId="6" fillId="0" borderId="47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 wrapText="1"/>
    </xf>
    <xf numFmtId="14" fontId="6" fillId="0" borderId="47" xfId="0" applyNumberFormat="1" applyFont="1" applyBorder="1" applyAlignment="1">
      <alignment horizontal="center" wrapText="1"/>
    </xf>
    <xf numFmtId="14" fontId="8" fillId="0" borderId="36" xfId="0" applyNumberFormat="1" applyFont="1" applyBorder="1" applyAlignment="1">
      <alignment horizontal="center"/>
    </xf>
    <xf numFmtId="14" fontId="7" fillId="0" borderId="45" xfId="0" applyNumberFormat="1" applyFont="1" applyBorder="1"/>
    <xf numFmtId="14" fontId="7" fillId="0" borderId="33" xfId="0" applyNumberFormat="1" applyFont="1" applyBorder="1"/>
    <xf numFmtId="15" fontId="7" fillId="0" borderId="33" xfId="0" applyNumberFormat="1" applyFont="1" applyBorder="1"/>
    <xf numFmtId="14" fontId="2" fillId="0" borderId="36" xfId="0" applyNumberFormat="1" applyFont="1" applyBorder="1"/>
    <xf numFmtId="14" fontId="7" fillId="0" borderId="27" xfId="0" applyNumberFormat="1" applyFont="1" applyBorder="1"/>
    <xf numFmtId="14" fontId="7" fillId="0" borderId="48" xfId="0" applyNumberFormat="1" applyFont="1" applyBorder="1"/>
    <xf numFmtId="14" fontId="10" fillId="0" borderId="48" xfId="0" applyNumberFormat="1" applyFont="1" applyBorder="1"/>
    <xf numFmtId="14" fontId="11" fillId="0" borderId="49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0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46" t="s">
        <v>37</v>
      </c>
      <c r="B1" s="145" t="s">
        <v>36</v>
      </c>
      <c r="C1" s="145"/>
      <c r="D1" s="145"/>
      <c r="E1" s="144"/>
      <c r="F1" s="144"/>
      <c r="G1" s="144"/>
      <c r="H1" s="144"/>
      <c r="I1" s="143"/>
      <c r="J1" s="15"/>
    </row>
    <row r="2" spans="1:15" s="1" customFormat="1" ht="20.25" customHeight="1" thickBot="1" x14ac:dyDescent="0.3">
      <c r="A2" s="142" t="s">
        <v>35</v>
      </c>
      <c r="B2" s="140"/>
      <c r="C2" s="140"/>
      <c r="D2" s="140"/>
      <c r="E2" s="141">
        <v>40752</v>
      </c>
      <c r="F2" s="140"/>
      <c r="G2" s="140"/>
      <c r="H2" s="140"/>
      <c r="I2" s="139"/>
      <c r="J2" s="15"/>
    </row>
    <row r="3" spans="1:15" s="1" customFormat="1" ht="63.75" customHeight="1" thickBot="1" x14ac:dyDescent="0.3">
      <c r="A3" s="138" t="s">
        <v>34</v>
      </c>
      <c r="B3" s="137" t="s">
        <v>33</v>
      </c>
      <c r="C3" s="137" t="s">
        <v>32</v>
      </c>
      <c r="D3" s="137" t="s">
        <v>31</v>
      </c>
      <c r="E3" s="137" t="s">
        <v>30</v>
      </c>
      <c r="F3" s="136" t="s">
        <v>29</v>
      </c>
      <c r="G3" s="135" t="s">
        <v>28</v>
      </c>
      <c r="H3" s="134" t="s">
        <v>27</v>
      </c>
      <c r="I3" s="133" t="s">
        <v>26</v>
      </c>
      <c r="J3" s="15"/>
    </row>
    <row r="4" spans="1:15" s="1" customFormat="1" ht="18" customHeight="1" x14ac:dyDescent="0.25">
      <c r="A4" s="132"/>
      <c r="B4" s="130"/>
      <c r="C4" s="131"/>
      <c r="D4" s="131"/>
      <c r="E4" s="131"/>
      <c r="F4" s="130"/>
      <c r="G4" s="129"/>
      <c r="H4" s="118"/>
      <c r="I4" s="129"/>
      <c r="J4" s="15"/>
    </row>
    <row r="5" spans="1:15" s="1" customFormat="1" ht="18" customHeight="1" x14ac:dyDescent="0.25">
      <c r="A5" s="123" t="s">
        <v>25</v>
      </c>
      <c r="B5" s="128" t="s">
        <v>22</v>
      </c>
      <c r="C5" s="115" t="s">
        <v>15</v>
      </c>
      <c r="D5" s="115" t="s">
        <v>15</v>
      </c>
      <c r="E5" s="127" t="s">
        <v>21</v>
      </c>
      <c r="F5" s="126">
        <v>1900</v>
      </c>
      <c r="G5" s="115" t="s">
        <v>24</v>
      </c>
      <c r="H5" s="125"/>
      <c r="I5" s="111">
        <f>G5*F5</f>
        <v>57000</v>
      </c>
      <c r="J5" s="124"/>
    </row>
    <row r="6" spans="1:15" s="1" customFormat="1" ht="18" customHeight="1" x14ac:dyDescent="0.25">
      <c r="A6" s="123" t="s">
        <v>23</v>
      </c>
      <c r="B6" s="128" t="s">
        <v>22</v>
      </c>
      <c r="C6" s="115" t="s">
        <v>15</v>
      </c>
      <c r="D6" s="115" t="s">
        <v>15</v>
      </c>
      <c r="E6" s="127" t="s">
        <v>21</v>
      </c>
      <c r="F6" s="126">
        <v>98</v>
      </c>
      <c r="G6" s="115" t="s">
        <v>20</v>
      </c>
      <c r="H6" s="125"/>
      <c r="I6" s="111">
        <f>G6*F6</f>
        <v>1764</v>
      </c>
      <c r="J6" s="124"/>
    </row>
    <row r="7" spans="1:15" s="1" customFormat="1" ht="18" customHeight="1" x14ac:dyDescent="0.25">
      <c r="A7" s="123"/>
      <c r="B7" s="128"/>
      <c r="C7" s="115"/>
      <c r="D7" s="115"/>
      <c r="E7" s="127"/>
      <c r="F7" s="126"/>
      <c r="G7" s="115"/>
      <c r="H7" s="125"/>
      <c r="I7" s="111"/>
      <c r="J7" s="124"/>
    </row>
    <row r="8" spans="1:15" s="1" customFormat="1" ht="18" customHeight="1" x14ac:dyDescent="0.25">
      <c r="A8" s="123"/>
      <c r="B8" s="128"/>
      <c r="C8" s="115"/>
      <c r="D8" s="115"/>
      <c r="E8" s="127"/>
      <c r="F8" s="126"/>
      <c r="G8" s="115"/>
      <c r="H8" s="125"/>
      <c r="I8" s="111"/>
      <c r="J8" s="124"/>
    </row>
    <row r="9" spans="1:15" s="1" customFormat="1" ht="18" customHeight="1" x14ac:dyDescent="0.25">
      <c r="A9" s="123"/>
      <c r="B9" s="122"/>
      <c r="C9" s="115"/>
      <c r="D9" s="121"/>
      <c r="E9" s="121"/>
      <c r="F9" s="120"/>
      <c r="G9" s="119"/>
      <c r="H9" s="118"/>
      <c r="I9" s="111"/>
      <c r="J9" s="15"/>
    </row>
    <row r="10" spans="1:15" s="1" customFormat="1" ht="15.75" thickBot="1" x14ac:dyDescent="0.3">
      <c r="A10" s="117"/>
      <c r="B10" s="116"/>
      <c r="C10" s="95"/>
      <c r="D10" s="115"/>
      <c r="E10" s="115"/>
      <c r="F10" s="114"/>
      <c r="G10" s="113"/>
      <c r="H10" s="112"/>
      <c r="I10" s="111"/>
      <c r="J10" s="15"/>
      <c r="L10" s="104"/>
      <c r="M10" s="103"/>
    </row>
    <row r="11" spans="1:15" s="1" customFormat="1" x14ac:dyDescent="0.25">
      <c r="A11" s="110" t="s">
        <v>8</v>
      </c>
      <c r="B11" s="87"/>
      <c r="C11" s="109"/>
      <c r="D11" s="109"/>
      <c r="E11" s="109"/>
      <c r="F11" s="108">
        <f>SUM(F5:F10)</f>
        <v>1998</v>
      </c>
      <c r="G11" s="107">
        <f>I11/F11</f>
        <v>29.411411411411411</v>
      </c>
      <c r="H11" s="106">
        <v>0</v>
      </c>
      <c r="I11" s="105">
        <f>SUM(I5:I8)</f>
        <v>58764</v>
      </c>
      <c r="J11" s="15"/>
      <c r="L11" s="104"/>
      <c r="M11" s="103"/>
    </row>
    <row r="12" spans="1:15" customFormat="1" x14ac:dyDescent="0.25">
      <c r="A12" s="102"/>
      <c r="B12" s="101"/>
      <c r="C12" s="101"/>
      <c r="D12" s="101"/>
      <c r="E12" s="100"/>
      <c r="F12" s="99"/>
      <c r="G12" s="98"/>
      <c r="H12" s="84"/>
      <c r="I12" s="83"/>
      <c r="J12" s="15"/>
      <c r="K12" s="1"/>
      <c r="L12" s="1"/>
      <c r="M12" s="1"/>
      <c r="N12" s="1"/>
      <c r="O12" s="1"/>
    </row>
    <row r="13" spans="1:15" customFormat="1" x14ac:dyDescent="0.25">
      <c r="A13" s="97" t="s">
        <v>19</v>
      </c>
      <c r="B13" s="96"/>
      <c r="C13" s="96"/>
      <c r="D13" s="96"/>
      <c r="E13" s="95"/>
      <c r="F13" s="94" t="s">
        <v>18</v>
      </c>
      <c r="G13" s="93" t="s">
        <v>17</v>
      </c>
      <c r="H13" s="84"/>
      <c r="I13" s="83"/>
      <c r="J13" s="15"/>
      <c r="K13" s="1"/>
      <c r="L13" s="1"/>
      <c r="M13" s="1"/>
      <c r="N13" s="1"/>
      <c r="O13" s="1"/>
    </row>
    <row r="14" spans="1:15" customFormat="1" x14ac:dyDescent="0.25">
      <c r="A14" s="92"/>
      <c r="B14" s="91"/>
      <c r="C14" s="91"/>
      <c r="D14" s="91"/>
      <c r="E14" s="90"/>
      <c r="F14" s="86"/>
      <c r="G14" s="85"/>
      <c r="H14" s="84"/>
      <c r="I14" s="83"/>
      <c r="J14" s="15"/>
      <c r="K14" s="1"/>
      <c r="L14" s="1"/>
      <c r="M14" s="1"/>
      <c r="N14" s="1"/>
      <c r="O14" s="1"/>
    </row>
    <row r="15" spans="1:15" customFormat="1" x14ac:dyDescent="0.25">
      <c r="A15" s="92"/>
      <c r="B15" s="91"/>
      <c r="C15" s="91"/>
      <c r="D15" s="91"/>
      <c r="E15" s="90" t="s">
        <v>16</v>
      </c>
      <c r="F15" s="86"/>
      <c r="G15" s="85"/>
      <c r="H15" s="84"/>
      <c r="I15" s="83">
        <f>G15*F15</f>
        <v>0</v>
      </c>
      <c r="J15" s="15"/>
      <c r="K15" s="1"/>
      <c r="L15" s="1"/>
      <c r="M15" s="1"/>
      <c r="N15" s="1"/>
      <c r="O15" s="1"/>
    </row>
    <row r="16" spans="1:15" customFormat="1" x14ac:dyDescent="0.25">
      <c r="A16" s="92"/>
      <c r="B16" s="91"/>
      <c r="C16" s="91"/>
      <c r="D16" s="91"/>
      <c r="E16" s="90" t="s">
        <v>15</v>
      </c>
      <c r="F16" s="86"/>
      <c r="G16" s="85"/>
      <c r="H16" s="84"/>
      <c r="I16" s="83">
        <f>G16*F16</f>
        <v>0</v>
      </c>
      <c r="J16" s="15"/>
      <c r="K16" s="1"/>
      <c r="L16" s="1"/>
      <c r="M16" s="1"/>
      <c r="N16" s="1"/>
      <c r="O16" s="1"/>
    </row>
    <row r="17" spans="1:15" customFormat="1" x14ac:dyDescent="0.25">
      <c r="A17" s="89"/>
      <c r="B17" s="88"/>
      <c r="C17" s="88"/>
      <c r="D17" s="88"/>
      <c r="E17" s="87"/>
      <c r="F17" s="86"/>
      <c r="G17" s="85"/>
      <c r="H17" s="84"/>
      <c r="I17" s="83"/>
      <c r="J17" s="15"/>
      <c r="K17" s="1"/>
      <c r="L17" s="1"/>
      <c r="M17" s="1"/>
      <c r="N17" s="1"/>
      <c r="O17" s="1"/>
    </row>
    <row r="18" spans="1:15" customFormat="1" ht="15.75" thickBot="1" x14ac:dyDescent="0.3">
      <c r="A18" s="82" t="s">
        <v>8</v>
      </c>
      <c r="B18" s="81"/>
      <c r="C18" s="81"/>
      <c r="D18" s="81"/>
      <c r="E18" s="80"/>
      <c r="F18" s="79">
        <f>SUM(F14:F17)</f>
        <v>0</v>
      </c>
      <c r="G18" s="78">
        <v>0</v>
      </c>
      <c r="H18" s="77"/>
      <c r="I18" s="76">
        <f>SUM(I14:I17)</f>
        <v>0</v>
      </c>
      <c r="J18" s="15"/>
      <c r="K18" s="1"/>
      <c r="L18" s="1"/>
      <c r="M18" s="1"/>
      <c r="N18" s="1"/>
      <c r="O18" s="1"/>
    </row>
    <row r="19" spans="1:15" customFormat="1" ht="18.75" customHeight="1" thickBot="1" x14ac:dyDescent="0.3">
      <c r="A19" s="75" t="s">
        <v>14</v>
      </c>
      <c r="B19" s="74"/>
      <c r="C19" s="74"/>
      <c r="D19" s="74"/>
      <c r="E19" s="73"/>
      <c r="F19" s="72"/>
      <c r="G19" s="71"/>
      <c r="H19" s="66"/>
      <c r="I19" s="64">
        <f>+I18+I11</f>
        <v>58764</v>
      </c>
      <c r="J19" s="15"/>
      <c r="K19" s="1"/>
      <c r="L19" s="37"/>
      <c r="M19" s="1"/>
      <c r="N19" s="1"/>
      <c r="O19" s="1"/>
    </row>
    <row r="20" spans="1:15" customFormat="1" ht="18.75" customHeight="1" thickBot="1" x14ac:dyDescent="0.3">
      <c r="A20" s="70" t="s">
        <v>13</v>
      </c>
      <c r="B20" s="69"/>
      <c r="C20" s="69"/>
      <c r="D20" s="69"/>
      <c r="E20" s="68"/>
      <c r="F20" s="67"/>
      <c r="G20" s="66"/>
      <c r="H20" s="65"/>
      <c r="I20" s="64">
        <f>+I19*12</f>
        <v>705168</v>
      </c>
      <c r="J20" s="15"/>
      <c r="K20" s="1"/>
      <c r="L20" s="1"/>
      <c r="M20" s="1"/>
      <c r="N20" s="1"/>
      <c r="O20" s="1"/>
    </row>
    <row r="21" spans="1:15" customFormat="1" ht="18.75" customHeight="1" x14ac:dyDescent="0.25">
      <c r="A21" s="63" t="s">
        <v>12</v>
      </c>
      <c r="B21" s="62"/>
      <c r="C21" s="62"/>
      <c r="D21" s="62"/>
      <c r="E21" s="61" t="s">
        <v>11</v>
      </c>
      <c r="F21" s="61" t="s">
        <v>10</v>
      </c>
      <c r="G21" s="60" t="s">
        <v>9</v>
      </c>
      <c r="H21" s="59"/>
      <c r="I21" s="58"/>
      <c r="J21" s="15"/>
      <c r="K21" s="1"/>
      <c r="L21" s="1"/>
      <c r="M21" s="1"/>
      <c r="N21" s="1"/>
      <c r="O21" s="1"/>
    </row>
    <row r="22" spans="1:15" customFormat="1" ht="15.75" thickBot="1" x14ac:dyDescent="0.3">
      <c r="A22" s="57" t="s">
        <v>8</v>
      </c>
      <c r="B22" s="56"/>
      <c r="C22" s="56"/>
      <c r="D22" s="56"/>
      <c r="E22" s="55">
        <f>86497/12</f>
        <v>7208.083333333333</v>
      </c>
      <c r="F22" s="55">
        <f>E22*12</f>
        <v>86497</v>
      </c>
      <c r="G22" s="54">
        <f>E22/F11</f>
        <v>3.6076493159826493</v>
      </c>
      <c r="H22" s="53">
        <f>F22/I20</f>
        <v>0.12266155015542396</v>
      </c>
      <c r="I22" s="52"/>
      <c r="J22" s="15"/>
      <c r="K22" s="1"/>
      <c r="L22" s="37"/>
      <c r="M22" s="1"/>
      <c r="N22" s="1"/>
      <c r="O22" s="37"/>
    </row>
    <row r="23" spans="1:15" customFormat="1" ht="18.75" customHeight="1" x14ac:dyDescent="0.25">
      <c r="A23" s="51" t="s">
        <v>7</v>
      </c>
      <c r="B23" s="50"/>
      <c r="C23" s="50"/>
      <c r="D23" s="50"/>
      <c r="E23" s="49"/>
      <c r="F23" s="48"/>
      <c r="G23" s="47"/>
      <c r="H23" s="46">
        <v>0.01</v>
      </c>
      <c r="I23" s="45">
        <f>+I20*-H23</f>
        <v>-7051.68</v>
      </c>
      <c r="J23" s="15"/>
      <c r="K23" s="1"/>
      <c r="L23" s="1"/>
      <c r="M23" s="1"/>
      <c r="N23" s="1"/>
      <c r="O23" s="37"/>
    </row>
    <row r="24" spans="1:15" customFormat="1" ht="18.75" customHeight="1" x14ac:dyDescent="0.25">
      <c r="A24" s="44" t="s">
        <v>6</v>
      </c>
      <c r="B24" s="43"/>
      <c r="C24" s="43"/>
      <c r="D24" s="43"/>
      <c r="E24" s="42"/>
      <c r="F24" s="41"/>
      <c r="G24" s="40"/>
      <c r="H24" s="39"/>
      <c r="I24" s="38">
        <f>+I25/12</f>
        <v>50968.276666666665</v>
      </c>
      <c r="J24" s="15"/>
      <c r="K24" s="1"/>
      <c r="L24" s="1"/>
      <c r="M24" s="1"/>
      <c r="N24" s="1"/>
      <c r="O24" s="37"/>
    </row>
    <row r="25" spans="1:15" customFormat="1" ht="18.75" customHeight="1" x14ac:dyDescent="0.25">
      <c r="A25" s="33" t="s">
        <v>5</v>
      </c>
      <c r="B25" s="31"/>
      <c r="C25" s="31"/>
      <c r="D25" s="31"/>
      <c r="E25" s="32"/>
      <c r="F25" s="32"/>
      <c r="G25" s="36"/>
      <c r="H25" s="29"/>
      <c r="I25" s="34">
        <f>+I20-F22+I23</f>
        <v>611619.31999999995</v>
      </c>
      <c r="J25" s="15"/>
      <c r="K25" s="1"/>
      <c r="L25" s="1"/>
      <c r="M25" s="1"/>
      <c r="N25" s="1"/>
      <c r="O25" s="1"/>
    </row>
    <row r="26" spans="1:15" customFormat="1" ht="18.75" customHeight="1" x14ac:dyDescent="0.25">
      <c r="A26" s="33" t="s">
        <v>4</v>
      </c>
      <c r="B26" s="31"/>
      <c r="C26" s="31"/>
      <c r="D26" s="31"/>
      <c r="E26" s="32"/>
      <c r="F26" s="32"/>
      <c r="G26" s="35"/>
      <c r="H26" s="29">
        <v>0.13</v>
      </c>
      <c r="I26" s="34">
        <f>+I25/H26</f>
        <v>4704763.9999999991</v>
      </c>
      <c r="J26" s="15"/>
      <c r="K26" s="1"/>
      <c r="L26" s="1"/>
      <c r="M26" s="1"/>
      <c r="N26" s="1"/>
      <c r="O26" s="1"/>
    </row>
    <row r="27" spans="1:15" customFormat="1" ht="18.75" customHeight="1" x14ac:dyDescent="0.25">
      <c r="A27" s="33" t="s">
        <v>3</v>
      </c>
      <c r="B27" s="31"/>
      <c r="C27" s="31"/>
      <c r="D27" s="31"/>
      <c r="E27" s="32"/>
      <c r="F27" s="31"/>
      <c r="G27" s="30"/>
      <c r="H27" s="29"/>
      <c r="I27" s="28">
        <f>ROUND(I26,-4)</f>
        <v>4700000</v>
      </c>
      <c r="J27" s="15"/>
      <c r="K27" s="1"/>
      <c r="L27" s="1"/>
      <c r="M27" s="1"/>
      <c r="N27" s="1"/>
      <c r="O27" s="1"/>
    </row>
    <row r="28" spans="1:15" customFormat="1" ht="39" customHeight="1" x14ac:dyDescent="0.25">
      <c r="A28" s="27" t="s">
        <v>2</v>
      </c>
      <c r="B28" s="25"/>
      <c r="C28" s="25"/>
      <c r="D28" s="25"/>
      <c r="E28" s="26"/>
      <c r="F28" s="25"/>
      <c r="G28" s="24"/>
      <c r="H28" s="23"/>
      <c r="I28" s="22">
        <v>2669400</v>
      </c>
      <c r="J28" s="15"/>
      <c r="K28" s="1"/>
      <c r="L28" s="21"/>
      <c r="M28" s="1"/>
      <c r="N28" s="1"/>
      <c r="O28" s="1"/>
    </row>
    <row r="29" spans="1:15" customFormat="1" ht="39" customHeight="1" x14ac:dyDescent="0.25">
      <c r="A29" s="20" t="s">
        <v>1</v>
      </c>
      <c r="B29" s="19"/>
      <c r="C29" s="19"/>
      <c r="D29" s="19"/>
      <c r="E29" s="19"/>
      <c r="F29" s="19"/>
      <c r="G29" s="18"/>
      <c r="H29" s="17"/>
      <c r="I29" s="16">
        <f>I27+I28</f>
        <v>7369400</v>
      </c>
      <c r="J29" s="15"/>
      <c r="K29" s="1"/>
      <c r="L29" s="14"/>
      <c r="M29" s="1"/>
      <c r="N29" s="1"/>
      <c r="O29" s="1"/>
    </row>
    <row r="30" spans="1:15" customFormat="1" ht="16.5" thickBot="1" x14ac:dyDescent="0.3">
      <c r="A30" s="13" t="s">
        <v>0</v>
      </c>
      <c r="B30" s="12"/>
      <c r="C30" s="12"/>
      <c r="D30" s="12"/>
      <c r="E30" s="11"/>
      <c r="F30" s="10"/>
      <c r="G30" s="9"/>
      <c r="H30" s="9"/>
      <c r="I30" s="8">
        <v>7400000</v>
      </c>
      <c r="J30" s="1"/>
      <c r="K30" s="1"/>
      <c r="L30" s="1"/>
      <c r="M30" s="1"/>
      <c r="N30" s="1"/>
      <c r="O30" s="1"/>
    </row>
    <row r="31" spans="1:15" customFormat="1" x14ac:dyDescent="0.25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7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6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s="1" customFormat="1" x14ac:dyDescent="0.25">
      <c r="A77" s="2"/>
      <c r="F77" s="3"/>
      <c r="G77" s="4"/>
      <c r="H77" s="4"/>
    </row>
    <row r="78" spans="1:15" s="1" customFormat="1" x14ac:dyDescent="0.25">
      <c r="A78" s="2"/>
      <c r="F78" s="3"/>
      <c r="G78" s="4"/>
      <c r="H78" s="4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  <c r="G94" s="4"/>
      <c r="H94" s="4"/>
    </row>
    <row r="95" spans="6:8" s="1" customFormat="1" x14ac:dyDescent="0.25">
      <c r="F95" s="3"/>
      <c r="G95" s="4"/>
      <c r="H95" s="4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</sheetData>
  <pageMargins left="0.70866141732283472" right="0.70866141732283472" top="0.74803149606299213" bottom="0.74803149606299213" header="0.31496062992125984" footer="0.31496062992125984"/>
  <pageSetup scale="71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2011-08-24T12:22:04Z</dcterms:created>
  <dcterms:modified xsi:type="dcterms:W3CDTF">2011-08-24T12:22:19Z</dcterms:modified>
</cp:coreProperties>
</file>