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60" windowWidth="17835" windowHeight="819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10"/>
  <c r="I10"/>
  <c r="G10" s="1"/>
  <c r="F17"/>
  <c r="I17"/>
  <c r="I18"/>
  <c r="I19" s="1"/>
  <c r="E21"/>
  <c r="F21" s="1"/>
  <c r="H21" l="1"/>
  <c r="I22"/>
  <c r="I24" s="1"/>
  <c r="G21"/>
  <c r="I23" l="1"/>
  <c r="I25"/>
  <c r="I26" s="1"/>
</calcChain>
</file>

<file path=xl/sharedStrings.xml><?xml version="1.0" encoding="utf-8"?>
<sst xmlns="http://schemas.openxmlformats.org/spreadsheetml/2006/main" count="41" uniqueCount="35">
  <si>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</si>
  <si>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</si>
  <si>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</si>
  <si>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</si>
  <si>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</si>
  <si>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</si>
  <si>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</si>
  <si>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</si>
  <si>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</si>
  <si>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</si>
  <si>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</si>
  <si>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</si>
  <si>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</si>
  <si>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</si>
  <si>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</si>
  <si>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</si>
  <si>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</si>
  <si>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</si>
  <si>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</si>
  <si>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n/a</t>
  </si>
  <si>
    <t>N/A</t>
  </si>
  <si>
    <t>Unit 8</t>
  </si>
  <si>
    <t>Unit 7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</si>
  <si>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</si>
  <si>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</si>
  <si>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</si>
  <si>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</si>
  <si>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</si>
  <si>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</si>
  <si>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</si>
  <si>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</si>
  <si>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</si>
  <si>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</si>
  <si>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Econoom 56 CC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</si>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</sst>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5</xdr:row>
      <xdr:rowOff>123826</xdr:rowOff>
    </xdr:from>
    <xdr:ext cx="7537346" cy="352424"/>
    <xdr:sp macro="" textlink="">
      <xdr:nvSpPr>
        <xdr:cNvPr id="3" name="Rectangle 2"/>
        <xdr:cNvSpPr/>
      </xdr:nvSpPr>
      <xdr:spPr>
        <a:xfrm>
          <a:off x="609600" y="1076326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Sectional Title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34</v>
      </c>
      <c r="B1" s="125" t="s">
        <v>33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32</v>
      </c>
      <c r="B2" s="120"/>
      <c r="C2" s="120"/>
      <c r="D2" s="120"/>
      <c r="E2" s="121">
        <v>40744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31</v>
      </c>
      <c r="B3" s="117" t="s">
        <v>30</v>
      </c>
      <c r="C3" s="117" t="s">
        <v>29</v>
      </c>
      <c r="D3" s="117" t="s">
        <v>28</v>
      </c>
      <c r="E3" s="117" t="s">
        <v>27</v>
      </c>
      <c r="F3" s="116" t="s">
        <v>26</v>
      </c>
      <c r="G3" s="115" t="s">
        <v>25</v>
      </c>
      <c r="H3" s="114" t="s">
        <v>24</v>
      </c>
      <c r="I3" s="113" t="s">
        <v>23</v>
      </c>
      <c r="J3" s="10"/>
    </row>
    <row r="4" spans="1:13" s="1" customFormat="1">
      <c r="A4" s="110" t="s">
        <v>22</v>
      </c>
      <c r="B4" s="110"/>
      <c r="C4" s="103" t="s">
        <v>20</v>
      </c>
      <c r="D4" s="103" t="s">
        <v>19</v>
      </c>
      <c r="E4" s="103" t="s">
        <v>19</v>
      </c>
      <c r="F4" s="112">
        <v>144</v>
      </c>
      <c r="G4" s="107">
        <v>85</v>
      </c>
      <c r="H4" s="106"/>
      <c r="I4" s="99">
        <f>G4*F4</f>
        <v>12240</v>
      </c>
      <c r="J4" s="10"/>
      <c r="L4" s="93"/>
      <c r="M4" s="92"/>
    </row>
    <row r="5" spans="1:13" s="1" customFormat="1">
      <c r="A5" s="110" t="s">
        <v>21</v>
      </c>
      <c r="B5" s="110"/>
      <c r="C5" s="103" t="s">
        <v>20</v>
      </c>
      <c r="D5" s="103" t="s">
        <v>19</v>
      </c>
      <c r="E5" s="103" t="s">
        <v>19</v>
      </c>
      <c r="F5" s="111">
        <v>143</v>
      </c>
      <c r="G5" s="107">
        <v>85</v>
      </c>
      <c r="H5" s="106"/>
      <c r="I5" s="99">
        <f>G5*F5</f>
        <v>12155</v>
      </c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287</v>
      </c>
      <c r="G10" s="95">
        <f>I10/F10</f>
        <v>85</v>
      </c>
      <c r="H10" s="94">
        <v>0</v>
      </c>
      <c r="I10" s="94">
        <f>SUM(I4:I9)</f>
        <v>24395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18</v>
      </c>
      <c r="B12" s="85"/>
      <c r="C12" s="85"/>
      <c r="D12" s="85"/>
      <c r="E12" s="84"/>
      <c r="F12" s="83" t="s">
        <v>17</v>
      </c>
      <c r="G12" s="82" t="s">
        <v>16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15</v>
      </c>
      <c r="F14" s="75"/>
      <c r="G14" s="74"/>
      <c r="H14" s="73"/>
      <c r="I14" s="72"/>
      <c r="J14" s="10"/>
    </row>
    <row r="15" spans="1:13" s="1" customFormat="1">
      <c r="A15" s="81"/>
      <c r="B15" s="80"/>
      <c r="C15" s="80"/>
      <c r="D15" s="80"/>
      <c r="E15" s="79" t="s">
        <v>14</v>
      </c>
      <c r="F15" s="75"/>
      <c r="G15" s="74"/>
      <c r="H15" s="73"/>
      <c r="I15" s="72"/>
      <c r="J15" s="10"/>
    </row>
    <row r="16" spans="1:13" s="1" customFormat="1">
      <c r="A16" s="78"/>
      <c r="B16" s="77"/>
      <c r="C16" s="77"/>
      <c r="D16" s="77"/>
      <c r="E16" s="76" t="s">
        <v>13</v>
      </c>
      <c r="F16" s="75"/>
      <c r="G16" s="74"/>
      <c r="H16" s="73"/>
      <c r="I16" s="72"/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0</v>
      </c>
      <c r="G17" s="67"/>
      <c r="H17" s="66"/>
      <c r="I17" s="65">
        <f>SUM(I13:I16)</f>
        <v>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24395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292740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54638/12</f>
        <v>4553.166666666667</v>
      </c>
      <c r="F21" s="44">
        <f>E21*12</f>
        <v>54638</v>
      </c>
      <c r="G21" s="43">
        <f>E21/F10</f>
        <v>15.864692218350756</v>
      </c>
      <c r="H21" s="42">
        <f>F21/I19</f>
        <v>0.18664343786295007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0.02</v>
      </c>
      <c r="I22" s="34">
        <f>+I19*-H22</f>
        <v>-5854.8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19353.933333333334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232247.2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0.11</v>
      </c>
      <c r="I25" s="23">
        <f>+I24/H25</f>
        <v>2111338.1818181821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2110000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2011-08-24T12:13:12Z</dcterms:created>
  <dcterms:modified xsi:type="dcterms:W3CDTF">2011-08-24T12:14:54Z</dcterms:modified>
</cp:coreProperties>
</file>