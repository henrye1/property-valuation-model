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 s="1"/>
  <c r="I5"/>
  <c r="I6"/>
  <c r="F9"/>
  <c r="I13"/>
  <c r="I16" s="1"/>
  <c r="I14"/>
  <c r="K14" s="1"/>
  <c r="I15"/>
  <c r="K15"/>
  <c r="F16"/>
  <c r="E20"/>
  <c r="F20" s="1"/>
  <c r="I26"/>
  <c r="E35"/>
  <c r="I17" l="1"/>
  <c r="I18" s="1"/>
  <c r="H20"/>
  <c r="G20"/>
  <c r="I9"/>
  <c r="G9" s="1"/>
  <c r="I21" l="1"/>
  <c r="I23" s="1"/>
  <c r="I22" l="1"/>
  <c r="E34" s="1"/>
  <c r="E38" s="1"/>
  <c r="I24"/>
  <c r="I25" s="1"/>
  <c r="I27" l="1"/>
  <c r="B30"/>
  <c r="B32" s="1"/>
  <c r="E32"/>
  <c r="E31" s="1"/>
  <c r="B31" s="1"/>
</calcChain>
</file>

<file path=xl/sharedStrings.xml><?xml version="1.0" encoding="utf-8"?>
<sst xmlns="http://schemas.openxmlformats.org/spreadsheetml/2006/main" count="61" uniqueCount="48">
  <si>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</si>
  <si>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</si>
  <si>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</si>
  <si>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</si>
  <si>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</si>
  <si>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</si>
  <si>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</si>
  <si>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</si>
  <si>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</si>
  <si>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</si>
  <si>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Bulk added to OMV</t>
  </si>
  <si>
    <t>26377</t>
  </si>
  <si>
    <t>Plus Bulk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</si>
  <si>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</si>
  <si>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</si>
  <si>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</si>
  <si>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</si>
  <si>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</si>
  <si>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</si>
  <si>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</si>
  <si>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</si>
  <si>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</si>
  <si>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</si>
  <si>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</si>
  <si>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</si>
  <si>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</si>
  <si>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</si>
  <si>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</si>
  <si>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</si>
  <si>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</si>
  <si>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</si>
  <si>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</si>
  <si>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N/A</t>
  </si>
  <si>
    <t>Storage</t>
  </si>
  <si>
    <t>Office</t>
  </si>
  <si>
    <t>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</si>
  <si>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</si>
  <si>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</si>
  <si>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</si>
  <si>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</si>
  <si>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</si>
  <si>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</si>
  <si>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</si>
  <si>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</si>
  <si>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</si>
  <si>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</si>
  <si>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Morsim Developments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</si>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</sst>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47</v>
      </c>
      <c r="B1" s="165" t="s">
        <v>46</v>
      </c>
      <c r="C1" s="165"/>
      <c r="D1" s="165"/>
      <c r="E1" s="163"/>
      <c r="F1" s="163"/>
      <c r="G1" s="164">
        <v>70035637</v>
      </c>
      <c r="H1" s="163"/>
      <c r="I1" s="162"/>
      <c r="J1" s="52"/>
    </row>
    <row r="2" spans="1:11" ht="20.25" customHeight="1" thickBot="1">
      <c r="A2" s="161" t="s">
        <v>45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44</v>
      </c>
      <c r="B3" s="156" t="s">
        <v>43</v>
      </c>
      <c r="C3" s="156" t="s">
        <v>42</v>
      </c>
      <c r="D3" s="156" t="s">
        <v>41</v>
      </c>
      <c r="E3" s="156" t="s">
        <v>40</v>
      </c>
      <c r="F3" s="155" t="s">
        <v>39</v>
      </c>
      <c r="G3" s="154" t="s">
        <v>38</v>
      </c>
      <c r="H3" s="153" t="s">
        <v>37</v>
      </c>
      <c r="I3" s="152" t="s">
        <v>36</v>
      </c>
      <c r="J3" s="52"/>
    </row>
    <row r="4" spans="1:11">
      <c r="A4" s="150" t="s">
        <v>35</v>
      </c>
      <c r="B4" s="151"/>
      <c r="C4" s="146" t="s">
        <v>32</v>
      </c>
      <c r="D4" s="146" t="s">
        <v>31</v>
      </c>
      <c r="E4" s="146" t="s">
        <v>31</v>
      </c>
      <c r="F4" s="149">
        <v>3375</v>
      </c>
      <c r="G4" s="139">
        <v>26.51</v>
      </c>
      <c r="H4" s="148"/>
      <c r="I4" s="119">
        <f>G4*F4</f>
        <v>89471.25</v>
      </c>
      <c r="J4" s="52"/>
      <c r="K4" s="118">
        <f>I4*12</f>
        <v>1073655</v>
      </c>
    </row>
    <row r="5" spans="1:11">
      <c r="A5" s="150" t="s">
        <v>34</v>
      </c>
      <c r="B5" s="151"/>
      <c r="C5" s="146" t="s">
        <v>32</v>
      </c>
      <c r="D5" s="146" t="s">
        <v>31</v>
      </c>
      <c r="E5" s="146" t="s">
        <v>31</v>
      </c>
      <c r="F5" s="149">
        <v>248</v>
      </c>
      <c r="G5" s="139">
        <v>26.51</v>
      </c>
      <c r="H5" s="148"/>
      <c r="I5" s="119">
        <f>G5*F5</f>
        <v>6574.4800000000005</v>
      </c>
      <c r="J5" s="52"/>
      <c r="K5" s="118"/>
    </row>
    <row r="6" spans="1:11">
      <c r="A6" s="150" t="s">
        <v>33</v>
      </c>
      <c r="B6" s="151"/>
      <c r="C6" s="146" t="s">
        <v>32</v>
      </c>
      <c r="D6" s="146" t="s">
        <v>31</v>
      </c>
      <c r="E6" s="146" t="s">
        <v>31</v>
      </c>
      <c r="F6" s="149">
        <v>375</v>
      </c>
      <c r="G6" s="139">
        <v>26.51</v>
      </c>
      <c r="H6" s="148"/>
      <c r="I6" s="119">
        <f>G6*F6</f>
        <v>9941.25</v>
      </c>
      <c r="J6" s="52"/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30</v>
      </c>
      <c r="B8" s="123" t="s">
        <v>30</v>
      </c>
      <c r="C8" s="130" t="s">
        <v>30</v>
      </c>
      <c r="D8" s="146" t="s">
        <v>30</v>
      </c>
      <c r="E8" s="146" t="s">
        <v>30</v>
      </c>
      <c r="F8" s="145"/>
      <c r="G8" s="144"/>
      <c r="H8" s="143"/>
      <c r="I8" s="119"/>
      <c r="J8" s="52"/>
    </row>
    <row r="9" spans="1:11">
      <c r="A9" s="142" t="s">
        <v>18</v>
      </c>
      <c r="B9" s="141"/>
      <c r="C9" s="141"/>
      <c r="D9" s="141"/>
      <c r="E9" s="141"/>
      <c r="F9" s="140">
        <f>SUM(F4:F8)</f>
        <v>3998</v>
      </c>
      <c r="G9" s="139">
        <f>I9/F9-H9</f>
        <v>26.509999999999998</v>
      </c>
      <c r="H9" s="138">
        <v>0</v>
      </c>
      <c r="I9" s="138">
        <f>SUM(I4:I8)</f>
        <v>105986.98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29</v>
      </c>
      <c r="B11" s="131"/>
      <c r="C11" s="131"/>
      <c r="D11" s="131"/>
      <c r="E11" s="130"/>
      <c r="F11" s="129" t="s">
        <v>28</v>
      </c>
      <c r="G11" s="128" t="s">
        <v>27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26</v>
      </c>
      <c r="F13" s="122"/>
      <c r="G13" s="121"/>
      <c r="H13" s="120"/>
      <c r="I13" s="119">
        <f>G13*F13</f>
        <v>0</v>
      </c>
      <c r="J13" s="52"/>
    </row>
    <row r="14" spans="1:11">
      <c r="A14" s="127"/>
      <c r="B14" s="35"/>
      <c r="C14" s="35"/>
      <c r="D14" s="35"/>
      <c r="E14" s="126" t="s">
        <v>25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24</v>
      </c>
      <c r="F15" s="122"/>
      <c r="G15" s="121"/>
      <c r="H15" s="120"/>
      <c r="I15" s="119">
        <f>G15*F15</f>
        <v>0</v>
      </c>
      <c r="J15" s="52"/>
      <c r="K15" s="118">
        <f>I15*12</f>
        <v>0</v>
      </c>
    </row>
    <row r="16" spans="1:11" ht="15.75" thickBot="1">
      <c r="A16" s="117" t="s">
        <v>18</v>
      </c>
      <c r="B16" s="116"/>
      <c r="C16" s="116"/>
      <c r="D16" s="116"/>
      <c r="E16" s="115"/>
      <c r="F16" s="114">
        <f>SUM(F12:F15)</f>
        <v>0</v>
      </c>
      <c r="G16" s="113"/>
      <c r="H16" s="112"/>
      <c r="I16" s="111">
        <f>SUM(I13:I15)</f>
        <v>0</v>
      </c>
      <c r="J16" s="52"/>
    </row>
    <row r="17" spans="1:10" ht="18.75" customHeight="1" thickBot="1">
      <c r="A17" s="110" t="s">
        <v>23</v>
      </c>
      <c r="B17" s="109"/>
      <c r="C17" s="109"/>
      <c r="D17" s="109"/>
      <c r="E17" s="108"/>
      <c r="F17" s="107"/>
      <c r="G17" s="106"/>
      <c r="H17" s="101"/>
      <c r="I17" s="99">
        <f>+I16+I9</f>
        <v>105986.98</v>
      </c>
      <c r="J17" s="52"/>
    </row>
    <row r="18" spans="1:10" ht="18.75" customHeight="1" thickBot="1">
      <c r="A18" s="105" t="s">
        <v>22</v>
      </c>
      <c r="B18" s="104"/>
      <c r="C18" s="104"/>
      <c r="D18" s="104"/>
      <c r="E18" s="103"/>
      <c r="F18" s="102"/>
      <c r="G18" s="101"/>
      <c r="H18" s="100"/>
      <c r="I18" s="99">
        <f>+I17*12</f>
        <v>1271843.76</v>
      </c>
      <c r="J18" s="52"/>
    </row>
    <row r="19" spans="1:10" ht="18.75" customHeight="1">
      <c r="A19" s="98" t="s">
        <v>21</v>
      </c>
      <c r="B19" s="97"/>
      <c r="C19" s="97"/>
      <c r="D19" s="97"/>
      <c r="E19" s="96"/>
      <c r="F19" s="96" t="s">
        <v>20</v>
      </c>
      <c r="G19" s="95" t="s">
        <v>19</v>
      </c>
      <c r="H19" s="94"/>
      <c r="I19" s="93"/>
      <c r="J19" s="52"/>
    </row>
    <row r="20" spans="1:10" ht="15.75" thickBot="1">
      <c r="A20" s="92" t="s">
        <v>18</v>
      </c>
      <c r="B20" s="91"/>
      <c r="C20" s="91"/>
      <c r="D20" s="91"/>
      <c r="E20" s="90">
        <f>157591/12</f>
        <v>13132.583333333334</v>
      </c>
      <c r="F20" s="90">
        <f>E20*12</f>
        <v>157591</v>
      </c>
      <c r="G20" s="89">
        <f>E20/F9</f>
        <v>3.284788227447057</v>
      </c>
      <c r="H20" s="88">
        <f>F20/I18</f>
        <v>0.12390751518095273</v>
      </c>
      <c r="I20" s="87"/>
      <c r="J20" s="52"/>
    </row>
    <row r="21" spans="1:10" ht="18.75" customHeight="1">
      <c r="A21" s="86" t="s">
        <v>17</v>
      </c>
      <c r="B21" s="85"/>
      <c r="C21" s="85"/>
      <c r="D21" s="85"/>
      <c r="E21" s="84"/>
      <c r="F21" s="83"/>
      <c r="G21" s="82"/>
      <c r="H21" s="81">
        <v>0.01</v>
      </c>
      <c r="I21" s="80">
        <f>+I18*-H21</f>
        <v>-12718.437600000001</v>
      </c>
      <c r="J21" s="52"/>
    </row>
    <row r="22" spans="1:10" ht="18.75" customHeight="1">
      <c r="A22" s="79" t="s">
        <v>16</v>
      </c>
      <c r="B22" s="78"/>
      <c r="C22" s="78"/>
      <c r="D22" s="78"/>
      <c r="E22" s="77"/>
      <c r="F22" s="76"/>
      <c r="G22" s="75"/>
      <c r="H22" s="74"/>
      <c r="I22" s="73">
        <f>+I23/12</f>
        <v>91794.526866666667</v>
      </c>
      <c r="J22" s="52"/>
    </row>
    <row r="23" spans="1:10" ht="18.75" customHeight="1">
      <c r="A23" s="69" t="s">
        <v>15</v>
      </c>
      <c r="B23" s="67"/>
      <c r="C23" s="67"/>
      <c r="D23" s="67"/>
      <c r="E23" s="68"/>
      <c r="F23" s="68"/>
      <c r="G23" s="72"/>
      <c r="H23" s="65"/>
      <c r="I23" s="70">
        <f>+I18-F20+I21</f>
        <v>1101534.3223999999</v>
      </c>
      <c r="J23" s="52"/>
    </row>
    <row r="24" spans="1:10" ht="18.75" customHeight="1">
      <c r="A24" s="69" t="s">
        <v>14</v>
      </c>
      <c r="B24" s="67"/>
      <c r="C24" s="67"/>
      <c r="D24" s="67"/>
      <c r="E24" s="68"/>
      <c r="F24" s="68"/>
      <c r="G24" s="71"/>
      <c r="H24" s="65">
        <v>0.12</v>
      </c>
      <c r="I24" s="70">
        <f>+I23/H24</f>
        <v>9179452.6866666675</v>
      </c>
      <c r="J24" s="52"/>
    </row>
    <row r="25" spans="1:10" ht="18.75" customHeight="1">
      <c r="A25" s="69" t="s">
        <v>13</v>
      </c>
      <c r="B25" s="67"/>
      <c r="C25" s="67"/>
      <c r="D25" s="67"/>
      <c r="E25" s="68"/>
      <c r="F25" s="67"/>
      <c r="G25" s="66"/>
      <c r="H25" s="65"/>
      <c r="I25" s="64">
        <f>ROUND(I24,-4)</f>
        <v>9180000</v>
      </c>
      <c r="J25" s="52"/>
    </row>
    <row r="26" spans="1:10" ht="18.75" customHeight="1">
      <c r="A26" s="63" t="s">
        <v>12</v>
      </c>
      <c r="B26" s="62"/>
      <c r="C26" s="62"/>
      <c r="D26" s="62"/>
      <c r="E26" s="43"/>
      <c r="F26" s="62" t="s">
        <v>11</v>
      </c>
      <c r="G26" s="61">
        <v>50</v>
      </c>
      <c r="H26" s="60"/>
      <c r="I26" s="59">
        <f>G26*F26</f>
        <v>1318850</v>
      </c>
      <c r="J26" s="52"/>
    </row>
    <row r="27" spans="1:10" ht="18.75" customHeight="1" thickBot="1">
      <c r="A27" s="58" t="s">
        <v>10</v>
      </c>
      <c r="B27" s="56"/>
      <c r="C27" s="56"/>
      <c r="D27" s="56"/>
      <c r="E27" s="57"/>
      <c r="F27" s="56"/>
      <c r="G27" s="55"/>
      <c r="H27" s="54"/>
      <c r="I27" s="53">
        <f>I25+I26</f>
        <v>10498850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0.15250544662309368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0.84749455337690627</v>
      </c>
      <c r="C31" s="44"/>
      <c r="D31" s="43"/>
      <c r="E31" s="42">
        <f>E32 - E30</f>
        <v>7780000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9180000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91794.526866666667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72111.164709609424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2011-08-24T11:45:28Z</dcterms:created>
  <dcterms:modified xsi:type="dcterms:W3CDTF">2011-08-24T11:49:21Z</dcterms:modified>
</cp:coreProperties>
</file>