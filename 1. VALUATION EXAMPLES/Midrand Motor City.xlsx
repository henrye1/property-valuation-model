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 s="1"/>
  <c r="I6" i="1"/>
  <c r="F9" i="1"/>
  <c r="I13" i="1"/>
  <c r="I14" i="1"/>
  <c r="K14" i="1"/>
  <c r="I15" i="1"/>
  <c r="K15" i="1"/>
  <c r="F16" i="1"/>
  <c r="I16" i="1"/>
  <c r="E20" i="1"/>
  <c r="G20" i="1" s="1"/>
  <c r="F20" i="1"/>
  <c r="E34" i="1"/>
  <c r="I9" i="1" l="1"/>
  <c r="G9" i="1" s="1"/>
  <c r="I17" i="1" l="1"/>
  <c r="I18" i="1" s="1"/>
  <c r="I21" i="1" l="1"/>
  <c r="I23" i="1" s="1"/>
  <c r="H20" i="1"/>
  <c r="I24" i="1" l="1"/>
  <c r="I22" i="1"/>
  <c r="E33" i="1" s="1"/>
  <c r="E37" i="1" s="1"/>
  <c r="I25" i="1" l="1"/>
  <c r="I26" i="1"/>
  <c r="B29" i="1" l="1"/>
  <c r="B31" i="1" s="1"/>
  <c r="E31" i="1"/>
  <c r="E30" i="1" s="1"/>
  <c r="B30" i="1" s="1"/>
</calcChain>
</file>

<file path=xl/sharedStrings.xml><?xml version="1.0" encoding="utf-8"?>
<sst xmlns="http://schemas.openxmlformats.org/spreadsheetml/2006/main" count="50" uniqueCount="44">
  <si>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</si>
  <si>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</si>
  <si>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</si>
  <si>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</si>
  <si>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</si>
  <si>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</si>
  <si>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</si>
  <si>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</si>
  <si>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</si>
  <si>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</si>
  <si>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</si>
  <si>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</si>
  <si>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</si>
  <si>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</si>
  <si>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</si>
  <si>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</si>
  <si>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</si>
  <si>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</si>
  <si>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</si>
  <si>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</si>
  <si>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</si>
  <si>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</si>
  <si>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</si>
  <si>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</si>
  <si>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</si>
  <si>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</si>
  <si>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</si>
  <si>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</si>
  <si>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</si>
  <si>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</si>
  <si>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Offices</t>
  </si>
  <si>
    <t>Office / Warehouse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</si>
  <si>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</si>
  <si>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</si>
  <si>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</si>
  <si>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</si>
  <si>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</si>
  <si>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</si>
  <si>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</si>
  <si>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</si>
  <si>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</si>
  <si>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</si>
  <si>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Midrand Motor City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</si>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</sst>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K190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43</v>
      </c>
      <c r="B1" s="160" t="s">
        <v>42</v>
      </c>
      <c r="C1" s="160"/>
      <c r="D1" s="160"/>
      <c r="E1" s="158"/>
      <c r="F1" s="158"/>
      <c r="G1" s="159">
        <v>70024612</v>
      </c>
      <c r="H1" s="158"/>
      <c r="I1" s="157"/>
      <c r="J1" s="52"/>
    </row>
    <row r="2" spans="1:11" ht="20.25" customHeight="1" thickBot="1" x14ac:dyDescent="0.3">
      <c r="A2" s="156" t="s">
        <v>41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40</v>
      </c>
      <c r="B3" s="151" t="s">
        <v>39</v>
      </c>
      <c r="C3" s="151" t="s">
        <v>38</v>
      </c>
      <c r="D3" s="151" t="s">
        <v>37</v>
      </c>
      <c r="E3" s="151" t="s">
        <v>36</v>
      </c>
      <c r="F3" s="150" t="s">
        <v>35</v>
      </c>
      <c r="G3" s="149" t="s">
        <v>34</v>
      </c>
      <c r="H3" s="148" t="s">
        <v>33</v>
      </c>
      <c r="I3" s="147" t="s">
        <v>32</v>
      </c>
      <c r="J3" s="52"/>
    </row>
    <row r="4" spans="1:11" x14ac:dyDescent="0.25">
      <c r="A4" s="145" t="s">
        <v>31</v>
      </c>
      <c r="B4" s="146" t="s">
        <v>30</v>
      </c>
      <c r="C4" s="141" t="s">
        <v>29</v>
      </c>
      <c r="D4" s="141"/>
      <c r="E4" s="141"/>
      <c r="F4" s="144">
        <v>270</v>
      </c>
      <c r="G4" s="134">
        <v>51</v>
      </c>
      <c r="H4" s="143"/>
      <c r="I4" s="114">
        <f>G4*F4</f>
        <v>13770</v>
      </c>
      <c r="J4" s="52"/>
      <c r="K4" s="113">
        <f>I4*12</f>
        <v>165240</v>
      </c>
    </row>
    <row r="5" spans="1:11" x14ac:dyDescent="0.25">
      <c r="A5" s="145"/>
      <c r="B5" s="146"/>
      <c r="C5" s="141"/>
      <c r="D5" s="141"/>
      <c r="E5" s="141"/>
      <c r="F5" s="144"/>
      <c r="G5" s="134"/>
      <c r="H5" s="143"/>
      <c r="I5" s="114"/>
      <c r="J5" s="52"/>
      <c r="K5" s="113"/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>
        <f>G6*F6</f>
        <v>0</v>
      </c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2" t="s">
        <v>28</v>
      </c>
      <c r="B8" s="118" t="s">
        <v>28</v>
      </c>
      <c r="C8" s="125" t="s">
        <v>28</v>
      </c>
      <c r="D8" s="141" t="s">
        <v>28</v>
      </c>
      <c r="E8" s="141" t="s">
        <v>28</v>
      </c>
      <c r="F8" s="140"/>
      <c r="G8" s="139"/>
      <c r="H8" s="138"/>
      <c r="I8" s="114"/>
      <c r="J8" s="52"/>
    </row>
    <row r="9" spans="1:11" x14ac:dyDescent="0.25">
      <c r="A9" s="137" t="s">
        <v>16</v>
      </c>
      <c r="B9" s="136"/>
      <c r="C9" s="136"/>
      <c r="D9" s="136"/>
      <c r="E9" s="136"/>
      <c r="F9" s="135">
        <f>SUM(F4:F8)</f>
        <v>270</v>
      </c>
      <c r="G9" s="134">
        <f>I9/F9-H9</f>
        <v>51</v>
      </c>
      <c r="H9" s="133">
        <v>0</v>
      </c>
      <c r="I9" s="133">
        <f>SUM(I4:I8)</f>
        <v>13770</v>
      </c>
      <c r="J9" s="52"/>
    </row>
    <row r="10" spans="1:11" x14ac:dyDescent="0.25">
      <c r="A10" s="132"/>
      <c r="B10" s="131"/>
      <c r="C10" s="131"/>
      <c r="D10" s="131"/>
      <c r="E10" s="130"/>
      <c r="F10" s="129"/>
      <c r="G10" s="128"/>
      <c r="H10" s="115"/>
      <c r="I10" s="114"/>
      <c r="J10" s="52"/>
    </row>
    <row r="11" spans="1:11" x14ac:dyDescent="0.25">
      <c r="A11" s="127" t="s">
        <v>27</v>
      </c>
      <c r="B11" s="126"/>
      <c r="C11" s="126"/>
      <c r="D11" s="126"/>
      <c r="E11" s="125"/>
      <c r="F11" s="124" t="s">
        <v>26</v>
      </c>
      <c r="G11" s="123" t="s">
        <v>25</v>
      </c>
      <c r="H11" s="115"/>
      <c r="I11" s="114"/>
      <c r="J11" s="52"/>
    </row>
    <row r="12" spans="1:11" x14ac:dyDescent="0.25">
      <c r="A12" s="122"/>
      <c r="B12" s="35"/>
      <c r="C12" s="35"/>
      <c r="D12" s="35"/>
      <c r="E12" s="121"/>
      <c r="F12" s="117"/>
      <c r="G12" s="116"/>
      <c r="H12" s="115"/>
      <c r="I12" s="114"/>
      <c r="J12" s="52"/>
    </row>
    <row r="13" spans="1:11" x14ac:dyDescent="0.25">
      <c r="A13" s="122"/>
      <c r="B13" s="35"/>
      <c r="C13" s="35"/>
      <c r="D13" s="35"/>
      <c r="E13" s="121" t="s">
        <v>24</v>
      </c>
      <c r="F13" s="117"/>
      <c r="G13" s="116"/>
      <c r="H13" s="115"/>
      <c r="I13" s="114">
        <f>G13*F13</f>
        <v>0</v>
      </c>
      <c r="J13" s="52"/>
    </row>
    <row r="14" spans="1:11" x14ac:dyDescent="0.25">
      <c r="A14" s="122"/>
      <c r="B14" s="35"/>
      <c r="C14" s="35"/>
      <c r="D14" s="35"/>
      <c r="E14" s="121" t="s">
        <v>23</v>
      </c>
      <c r="F14" s="117">
        <v>5</v>
      </c>
      <c r="G14" s="116">
        <v>220</v>
      </c>
      <c r="H14" s="115"/>
      <c r="I14" s="114">
        <f>G14*F14</f>
        <v>1100</v>
      </c>
      <c r="J14" s="52"/>
      <c r="K14" s="113">
        <f>I14*12</f>
        <v>13200</v>
      </c>
    </row>
    <row r="15" spans="1:11" x14ac:dyDescent="0.25">
      <c r="A15" s="120"/>
      <c r="B15" s="119"/>
      <c r="C15" s="119"/>
      <c r="D15" s="119"/>
      <c r="E15" s="118" t="s">
        <v>22</v>
      </c>
      <c r="F15" s="117">
        <v>0</v>
      </c>
      <c r="G15" s="116">
        <v>0</v>
      </c>
      <c r="H15" s="115"/>
      <c r="I15" s="114">
        <f>G15*F15</f>
        <v>0</v>
      </c>
      <c r="J15" s="52"/>
      <c r="K15" s="113">
        <f>I15*12</f>
        <v>0</v>
      </c>
    </row>
    <row r="16" spans="1:11" ht="15.75" thickBot="1" x14ac:dyDescent="0.3">
      <c r="A16" s="112" t="s">
        <v>16</v>
      </c>
      <c r="B16" s="111"/>
      <c r="C16" s="111"/>
      <c r="D16" s="111"/>
      <c r="E16" s="110"/>
      <c r="F16" s="109">
        <f>SUM(F12:F15)</f>
        <v>5</v>
      </c>
      <c r="G16" s="108"/>
      <c r="H16" s="107"/>
      <c r="I16" s="106">
        <f>SUM(I13:I15)</f>
        <v>1100</v>
      </c>
      <c r="J16" s="52"/>
    </row>
    <row r="17" spans="1:10" ht="18.75" customHeight="1" thickBot="1" x14ac:dyDescent="0.3">
      <c r="A17" s="105" t="s">
        <v>21</v>
      </c>
      <c r="B17" s="104"/>
      <c r="C17" s="104"/>
      <c r="D17" s="104"/>
      <c r="E17" s="103"/>
      <c r="F17" s="102"/>
      <c r="G17" s="101"/>
      <c r="H17" s="96"/>
      <c r="I17" s="94">
        <f>+I16+I9</f>
        <v>14870</v>
      </c>
      <c r="J17" s="52"/>
    </row>
    <row r="18" spans="1:10" ht="18.75" customHeight="1" thickBot="1" x14ac:dyDescent="0.3">
      <c r="A18" s="100" t="s">
        <v>20</v>
      </c>
      <c r="B18" s="99"/>
      <c r="C18" s="99"/>
      <c r="D18" s="99"/>
      <c r="E18" s="98"/>
      <c r="F18" s="97"/>
      <c r="G18" s="96"/>
      <c r="H18" s="95"/>
      <c r="I18" s="94">
        <f>+I17*12</f>
        <v>178440</v>
      </c>
      <c r="J18" s="52"/>
    </row>
    <row r="19" spans="1:10" ht="18.75" customHeight="1" x14ac:dyDescent="0.25">
      <c r="A19" s="93" t="s">
        <v>19</v>
      </c>
      <c r="B19" s="92"/>
      <c r="C19" s="92"/>
      <c r="D19" s="92"/>
      <c r="E19" s="91"/>
      <c r="F19" s="91" t="s">
        <v>18</v>
      </c>
      <c r="G19" s="90" t="s">
        <v>17</v>
      </c>
      <c r="H19" s="89"/>
      <c r="I19" s="88"/>
      <c r="J19" s="52"/>
    </row>
    <row r="20" spans="1:10" ht="15.75" thickBot="1" x14ac:dyDescent="0.3">
      <c r="A20" s="87" t="s">
        <v>16</v>
      </c>
      <c r="B20" s="86"/>
      <c r="C20" s="86"/>
      <c r="D20" s="86"/>
      <c r="E20" s="85">
        <f>70080/12</f>
        <v>5840</v>
      </c>
      <c r="F20" s="85">
        <f>E20*12</f>
        <v>70080</v>
      </c>
      <c r="G20" s="84">
        <f>E20/F9</f>
        <v>21.62962962962963</v>
      </c>
      <c r="H20" s="83">
        <f>F20/I18</f>
        <v>0.39273705447209145</v>
      </c>
      <c r="I20" s="82"/>
      <c r="J20" s="52"/>
    </row>
    <row r="21" spans="1:10" ht="18.75" customHeight="1" x14ac:dyDescent="0.25">
      <c r="A21" s="81" t="s">
        <v>15</v>
      </c>
      <c r="B21" s="80"/>
      <c r="C21" s="80"/>
      <c r="D21" s="80"/>
      <c r="E21" s="79"/>
      <c r="F21" s="78"/>
      <c r="G21" s="77"/>
      <c r="H21" s="76">
        <v>0.02</v>
      </c>
      <c r="I21" s="75">
        <f>+I18*-H21</f>
        <v>-3568.8</v>
      </c>
      <c r="J21" s="52"/>
    </row>
    <row r="22" spans="1:10" ht="18.75" customHeight="1" x14ac:dyDescent="0.25">
      <c r="A22" s="74" t="s">
        <v>14</v>
      </c>
      <c r="B22" s="73"/>
      <c r="C22" s="73"/>
      <c r="D22" s="73"/>
      <c r="E22" s="72"/>
      <c r="F22" s="71"/>
      <c r="G22" s="70"/>
      <c r="H22" s="69"/>
      <c r="I22" s="68">
        <f>+I23/12</f>
        <v>8732.6</v>
      </c>
      <c r="J22" s="52"/>
    </row>
    <row r="23" spans="1:10" ht="18.75" customHeight="1" x14ac:dyDescent="0.25">
      <c r="A23" s="64" t="s">
        <v>13</v>
      </c>
      <c r="B23" s="62"/>
      <c r="C23" s="62"/>
      <c r="D23" s="62"/>
      <c r="E23" s="63"/>
      <c r="F23" s="63"/>
      <c r="G23" s="67"/>
      <c r="H23" s="60"/>
      <c r="I23" s="65">
        <f>+I18-F20+I21</f>
        <v>104791.2</v>
      </c>
      <c r="J23" s="52"/>
    </row>
    <row r="24" spans="1:10" ht="18.75" customHeight="1" x14ac:dyDescent="0.25">
      <c r="A24" s="64" t="s">
        <v>12</v>
      </c>
      <c r="B24" s="62"/>
      <c r="C24" s="62"/>
      <c r="D24" s="62"/>
      <c r="E24" s="63"/>
      <c r="F24" s="63"/>
      <c r="G24" s="66"/>
      <c r="H24" s="60">
        <v>0.1</v>
      </c>
      <c r="I24" s="65">
        <f>+I23/H24</f>
        <v>1047911.9999999999</v>
      </c>
      <c r="J24" s="52"/>
    </row>
    <row r="25" spans="1:10" ht="18.75" customHeight="1" x14ac:dyDescent="0.25">
      <c r="A25" s="64" t="s">
        <v>11</v>
      </c>
      <c r="B25" s="62"/>
      <c r="C25" s="62"/>
      <c r="D25" s="62"/>
      <c r="E25" s="63"/>
      <c r="F25" s="62"/>
      <c r="G25" s="61"/>
      <c r="H25" s="60"/>
      <c r="I25" s="59">
        <f>ROUND(I24,-4)</f>
        <v>1050000</v>
      </c>
      <c r="J25" s="52"/>
    </row>
    <row r="26" spans="1:10" ht="18.75" customHeight="1" thickBot="1" x14ac:dyDescent="0.3">
      <c r="A26" s="58" t="s">
        <v>10</v>
      </c>
      <c r="B26" s="56"/>
      <c r="C26" s="56"/>
      <c r="D26" s="56"/>
      <c r="E26" s="57"/>
      <c r="F26" s="56"/>
      <c r="G26" s="55"/>
      <c r="H26" s="54">
        <v>0.7</v>
      </c>
      <c r="I26" s="53">
        <f>ROUND(I24*H26,-4)</f>
        <v>730000</v>
      </c>
      <c r="J26" s="52"/>
    </row>
    <row r="27" spans="1:10" ht="15.75" thickTop="1" x14ac:dyDescent="0.25">
      <c r="A27" s="12"/>
      <c r="B27" s="12"/>
      <c r="C27" s="12"/>
      <c r="D27" s="12"/>
      <c r="E27" s="12"/>
      <c r="F27" s="12"/>
      <c r="G27" s="11"/>
      <c r="H27" s="11"/>
      <c r="I27" s="10"/>
    </row>
    <row r="28" spans="1:10" ht="15.75" thickBot="1" x14ac:dyDescent="0.3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Top="1" x14ac:dyDescent="0.25">
      <c r="A29" s="51" t="s">
        <v>9</v>
      </c>
      <c r="B29" s="50">
        <f>+E29/I25</f>
        <v>1.3333333333333333</v>
      </c>
      <c r="C29" s="49"/>
      <c r="D29" s="48"/>
      <c r="E29" s="47">
        <v>1400000</v>
      </c>
      <c r="F29" s="12"/>
      <c r="G29" s="11"/>
      <c r="H29" s="11"/>
      <c r="I29" s="10"/>
    </row>
    <row r="30" spans="1:10" x14ac:dyDescent="0.25">
      <c r="A30" s="46" t="s">
        <v>8</v>
      </c>
      <c r="B30" s="45">
        <f>+E30/I25</f>
        <v>-0.33333333333333331</v>
      </c>
      <c r="C30" s="44"/>
      <c r="D30" s="43"/>
      <c r="E30" s="42">
        <f>E31 - E29</f>
        <v>-350000</v>
      </c>
      <c r="F30" s="12"/>
      <c r="G30" s="11"/>
      <c r="H30" s="11"/>
      <c r="I30" s="10"/>
    </row>
    <row r="31" spans="1:10" x14ac:dyDescent="0.25">
      <c r="A31" s="41" t="s">
        <v>7</v>
      </c>
      <c r="B31" s="40">
        <f>SUM(B29:B30)</f>
        <v>1</v>
      </c>
      <c r="C31" s="39"/>
      <c r="D31" s="38"/>
      <c r="E31" s="37">
        <f>I25</f>
        <v>1050000</v>
      </c>
      <c r="F31" s="12"/>
      <c r="G31" s="11"/>
      <c r="H31" s="11"/>
      <c r="I31" s="10"/>
    </row>
    <row r="32" spans="1:10" x14ac:dyDescent="0.25">
      <c r="A32" s="32"/>
      <c r="B32" s="31"/>
      <c r="C32" s="36"/>
      <c r="D32" s="35"/>
      <c r="E32" s="34"/>
      <c r="F32" s="12"/>
      <c r="G32" s="11"/>
      <c r="H32" s="11"/>
      <c r="I32" s="10"/>
    </row>
    <row r="33" spans="1:9" x14ac:dyDescent="0.25">
      <c r="A33" s="32" t="s">
        <v>6</v>
      </c>
      <c r="B33" s="31"/>
      <c r="C33" s="30"/>
      <c r="D33" s="29"/>
      <c r="E33" s="33">
        <f>+I22</f>
        <v>8732.6</v>
      </c>
      <c r="F33" s="12"/>
      <c r="G33" s="11"/>
      <c r="H33" s="11"/>
      <c r="I33" s="10"/>
    </row>
    <row r="34" spans="1:9" x14ac:dyDescent="0.25">
      <c r="A34" s="32" t="s">
        <v>5</v>
      </c>
      <c r="B34" s="31"/>
      <c r="C34" s="30"/>
      <c r="D34" s="29"/>
      <c r="E34" s="28">
        <f>PMT(B36/12,B35*12,E29)</f>
        <v>-19683.362157057247</v>
      </c>
      <c r="F34" s="12"/>
      <c r="G34" s="11"/>
      <c r="H34" s="11"/>
      <c r="I34" s="10"/>
    </row>
    <row r="35" spans="1:9" x14ac:dyDescent="0.25">
      <c r="A35" s="27" t="s">
        <v>4</v>
      </c>
      <c r="B35" s="26">
        <v>10</v>
      </c>
      <c r="C35" s="25" t="s">
        <v>3</v>
      </c>
      <c r="D35" s="24"/>
      <c r="E35" s="23"/>
      <c r="F35" s="12"/>
      <c r="G35" s="11"/>
      <c r="H35" s="11"/>
      <c r="I35" s="10"/>
    </row>
    <row r="36" spans="1:9" x14ac:dyDescent="0.25">
      <c r="A36" s="22" t="s">
        <v>2</v>
      </c>
      <c r="B36" s="21">
        <v>0.115</v>
      </c>
      <c r="C36" s="20" t="s">
        <v>1</v>
      </c>
      <c r="D36" s="19"/>
      <c r="E36" s="18"/>
      <c r="F36" s="12"/>
      <c r="G36" s="11"/>
      <c r="H36" s="11"/>
      <c r="I36" s="10"/>
    </row>
    <row r="37" spans="1:9" ht="15.75" thickBot="1" x14ac:dyDescent="0.3">
      <c r="A37" s="17" t="s">
        <v>0</v>
      </c>
      <c r="B37" s="16"/>
      <c r="C37" s="15"/>
      <c r="D37" s="14"/>
      <c r="E37" s="13">
        <f>SUM(E33:E36)</f>
        <v>-10950.762157057246</v>
      </c>
      <c r="F37" s="12"/>
      <c r="G37" s="11"/>
      <c r="H37" s="11"/>
      <c r="I37" s="10"/>
    </row>
    <row r="38" spans="1:9" ht="15.75" thickTop="1" x14ac:dyDescent="0.25">
      <c r="A38" s="8"/>
      <c r="B38" s="9"/>
      <c r="C38" s="9"/>
      <c r="D38" s="9"/>
      <c r="E38" s="8"/>
      <c r="F38" s="8"/>
      <c r="G38" s="3"/>
      <c r="H38" s="3"/>
      <c r="I38" s="7"/>
    </row>
    <row r="39" spans="1:9" x14ac:dyDescent="0.25">
      <c r="A39" s="8"/>
      <c r="B39" s="9"/>
      <c r="C39" s="9"/>
      <c r="D39" s="9"/>
      <c r="E39" s="8"/>
      <c r="F39" s="8"/>
      <c r="G39" s="3"/>
      <c r="H39" s="3"/>
      <c r="I39" s="7"/>
    </row>
    <row r="40" spans="1:9" x14ac:dyDescent="0.25">
      <c r="B40" s="5"/>
      <c r="C40" s="5"/>
      <c r="D40" s="5"/>
      <c r="F40" s="2"/>
      <c r="G40" s="3"/>
      <c r="H40" s="3"/>
      <c r="I40" s="7"/>
    </row>
    <row r="41" spans="1:9" x14ac:dyDescent="0.25">
      <c r="B41" s="5"/>
      <c r="C41" s="5"/>
      <c r="D41" s="5"/>
      <c r="F41" s="2"/>
      <c r="G41" s="3"/>
      <c r="H41" s="3"/>
    </row>
    <row r="42" spans="1:9" x14ac:dyDescent="0.25">
      <c r="B42" s="5"/>
      <c r="C42" s="5"/>
      <c r="D42" s="5"/>
      <c r="F42" s="2"/>
      <c r="G42" s="3"/>
      <c r="H42" s="3"/>
    </row>
    <row r="43" spans="1:9" x14ac:dyDescent="0.25">
      <c r="B43" s="6"/>
      <c r="C43" s="5"/>
      <c r="D43" s="5"/>
      <c r="F43" s="2"/>
      <c r="G43" s="3"/>
      <c r="H43" s="3"/>
    </row>
    <row r="44" spans="1:9" x14ac:dyDescent="0.25">
      <c r="B44" s="5"/>
      <c r="C44" s="5"/>
      <c r="D44" s="5"/>
      <c r="F44" s="2"/>
      <c r="G44" s="3"/>
      <c r="H44" s="3"/>
    </row>
    <row r="45" spans="1:9" x14ac:dyDescent="0.25">
      <c r="B45" s="4"/>
      <c r="C45" s="4"/>
      <c r="D45" s="4"/>
      <c r="F45" s="2"/>
      <c r="G45" s="3"/>
      <c r="H45" s="3"/>
    </row>
    <row r="46" spans="1:9" x14ac:dyDescent="0.25">
      <c r="B46" s="4"/>
      <c r="C46" s="4"/>
      <c r="D46" s="4"/>
      <c r="F46" s="2"/>
      <c r="G46" s="3"/>
      <c r="H46" s="3"/>
    </row>
    <row r="47" spans="1:9" x14ac:dyDescent="0.25">
      <c r="B47" s="4"/>
      <c r="C47" s="4"/>
      <c r="D47" s="4"/>
      <c r="F47" s="2"/>
      <c r="G47" s="3"/>
      <c r="H47" s="3"/>
    </row>
    <row r="48" spans="1:9" x14ac:dyDescent="0.25">
      <c r="B48" s="4"/>
      <c r="C48" s="4"/>
      <c r="D48" s="4"/>
      <c r="F48" s="2"/>
      <c r="G48" s="3"/>
      <c r="H48" s="3"/>
    </row>
    <row r="49" spans="2:8" x14ac:dyDescent="0.25">
      <c r="B49" s="4"/>
      <c r="C49" s="4"/>
      <c r="D49" s="4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F52" s="2"/>
      <c r="G52" s="3"/>
      <c r="H52" s="3"/>
    </row>
    <row r="53" spans="2:8" x14ac:dyDescent="0.25">
      <c r="F53" s="2"/>
      <c r="G53" s="3"/>
      <c r="H53" s="3"/>
    </row>
    <row r="54" spans="2:8" x14ac:dyDescent="0.25">
      <c r="F54" s="2"/>
      <c r="G54" s="3"/>
      <c r="H54" s="3"/>
    </row>
    <row r="55" spans="2:8" x14ac:dyDescent="0.25">
      <c r="F55" s="2"/>
      <c r="G55" s="3"/>
      <c r="H55" s="3"/>
    </row>
    <row r="56" spans="2:8" x14ac:dyDescent="0.25"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</row>
    <row r="107" spans="6:8" x14ac:dyDescent="0.25">
      <c r="F107" s="2"/>
    </row>
    <row r="108" spans="6:8" x14ac:dyDescent="0.25">
      <c r="F108" s="2"/>
    </row>
    <row r="109" spans="6:8" x14ac:dyDescent="0.25">
      <c r="F109" s="2"/>
    </row>
    <row r="110" spans="6:8" x14ac:dyDescent="0.25">
      <c r="F110" s="2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2011-08-24T11:51:42Z</dcterms:created>
  <dcterms:modified xsi:type="dcterms:W3CDTF">2011-08-24T11:52:54Z</dcterms:modified>
</cp:coreProperties>
</file>