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520" yWindow="2400" windowWidth="15915" windowHeight="615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5" i="1"/>
  <c r="I6"/>
  <c r="F11"/>
  <c r="I11"/>
  <c r="G11" s="1"/>
  <c r="I15"/>
  <c r="I16"/>
  <c r="F18"/>
  <c r="I18"/>
  <c r="I19" s="1"/>
  <c r="I20" s="1"/>
  <c r="E22"/>
  <c r="F22"/>
  <c r="H22" s="1"/>
  <c r="G22"/>
  <c r="I23" l="1"/>
  <c r="I25"/>
  <c r="I26" l="1"/>
  <c r="I27" s="1"/>
  <c r="I28" s="1"/>
  <c r="I24"/>
</calcChain>
</file>

<file path=xl/sharedStrings.xml><?xml version="1.0" encoding="utf-8"?>
<sst xmlns="http://schemas.openxmlformats.org/spreadsheetml/2006/main" count="41" uniqueCount="35">
  <si>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</si>
  <si>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</si>
  <si>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</si>
  <si>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</si>
  <si>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</si>
  <si>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</si>
  <si>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</si>
  <si>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</si>
  <si>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</si>
  <si>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</si>
  <si>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</si>
  <si>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</si>
  <si>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</si>
  <si>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</si>
  <si>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</si>
  <si>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</si>
  <si>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</si>
  <si>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</si>
  <si>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</si>
  <si>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N/A</t>
  </si>
  <si>
    <t>Factory and Ablusions</t>
  </si>
  <si>
    <t>Office</t>
  </si>
  <si>
    <t>Owner / Tenant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</si>
  <si>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</si>
  <si>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</si>
  <si>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</si>
  <si>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</si>
  <si>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</si>
  <si>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</si>
  <si>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</si>
  <si>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</si>
  <si>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</si>
  <si>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</si>
  <si>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Thirty Radio RD</t>
  </si>
  <si>
    <t xml:space="preserve">Building name :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</si>
</sst>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9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714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>
      <c r="A1" s="130" t="s">
        <v>34</v>
      </c>
      <c r="B1" s="129" t="s">
        <v>33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>
      <c r="A2" s="125" t="s">
        <v>32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>
      <c r="A3" s="121" t="s">
        <v>31</v>
      </c>
      <c r="B3" s="120" t="s">
        <v>30</v>
      </c>
      <c r="C3" s="120" t="s">
        <v>29</v>
      </c>
      <c r="D3" s="120" t="s">
        <v>28</v>
      </c>
      <c r="E3" s="120" t="s">
        <v>27</v>
      </c>
      <c r="F3" s="119" t="s">
        <v>26</v>
      </c>
      <c r="G3" s="118" t="s">
        <v>25</v>
      </c>
      <c r="H3" s="117" t="s">
        <v>24</v>
      </c>
      <c r="I3" s="116" t="s">
        <v>23</v>
      </c>
      <c r="J3" s="14"/>
    </row>
    <row r="4" spans="1:15" s="1" customFormat="1" ht="18" customHeight="1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>
      <c r="A5" s="110" t="s">
        <v>22</v>
      </c>
      <c r="B5" s="109" t="s">
        <v>21</v>
      </c>
      <c r="C5" s="102" t="s">
        <v>19</v>
      </c>
      <c r="D5" s="102" t="s">
        <v>18</v>
      </c>
      <c r="E5" s="109" t="s">
        <v>18</v>
      </c>
      <c r="F5" s="108">
        <v>167</v>
      </c>
      <c r="G5" s="107">
        <v>23</v>
      </c>
      <c r="H5" s="106"/>
      <c r="I5" s="98">
        <f>G5*F5</f>
        <v>3841</v>
      </c>
      <c r="J5" s="105"/>
      <c r="K5" s="1"/>
      <c r="L5" s="1"/>
      <c r="M5" s="1"/>
      <c r="N5" s="1"/>
      <c r="O5" s="1"/>
    </row>
    <row r="6" spans="1:15" customFormat="1" ht="18" customHeight="1">
      <c r="A6" s="110"/>
      <c r="B6" s="110" t="s">
        <v>20</v>
      </c>
      <c r="C6" s="102" t="s">
        <v>19</v>
      </c>
      <c r="D6" s="102" t="s">
        <v>18</v>
      </c>
      <c r="E6" s="109" t="s">
        <v>18</v>
      </c>
      <c r="F6" s="108">
        <v>839</v>
      </c>
      <c r="G6" s="107">
        <v>23</v>
      </c>
      <c r="H6" s="106"/>
      <c r="I6" s="98">
        <f>G6*F6</f>
        <v>19297</v>
      </c>
      <c r="J6" s="105"/>
      <c r="K6" s="1"/>
      <c r="L6" s="1"/>
      <c r="M6" s="1"/>
      <c r="N6" s="1"/>
      <c r="O6" s="1"/>
    </row>
    <row r="7" spans="1:15" customFormat="1" ht="18" customHeight="1">
      <c r="A7" s="110"/>
      <c r="B7" s="110"/>
      <c r="C7" s="102"/>
      <c r="D7" s="102"/>
      <c r="E7" s="109"/>
      <c r="F7" s="108"/>
      <c r="G7" s="107"/>
      <c r="H7" s="106"/>
      <c r="I7" s="98"/>
      <c r="J7" s="105"/>
      <c r="K7" s="1"/>
      <c r="L7" s="1"/>
      <c r="M7" s="1"/>
      <c r="N7" s="1"/>
      <c r="O7" s="1"/>
    </row>
    <row r="8" spans="1:15" customFormat="1" ht="18" customHeight="1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5.75" thickBot="1">
      <c r="A10" s="104"/>
      <c r="B10" s="103"/>
      <c r="C10" s="82"/>
      <c r="D10" s="102"/>
      <c r="E10" s="102"/>
      <c r="F10" s="101"/>
      <c r="G10" s="100"/>
      <c r="H10" s="99"/>
      <c r="I10" s="98"/>
      <c r="J10" s="14"/>
      <c r="K10" s="1"/>
      <c r="L10" s="91"/>
      <c r="M10" s="90"/>
      <c r="N10" s="1"/>
      <c r="O10" s="1"/>
    </row>
    <row r="11" spans="1:15" customFormat="1">
      <c r="A11" s="97" t="s">
        <v>6</v>
      </c>
      <c r="B11" s="74"/>
      <c r="C11" s="96"/>
      <c r="D11" s="96"/>
      <c r="E11" s="96"/>
      <c r="F11" s="95">
        <f>SUM(F5:F10)</f>
        <v>1006</v>
      </c>
      <c r="G11" s="94">
        <f>I11/F11</f>
        <v>23</v>
      </c>
      <c r="H11" s="93">
        <v>0</v>
      </c>
      <c r="I11" s="92">
        <f>SUM(I5:I9)</f>
        <v>23138</v>
      </c>
      <c r="J11" s="14"/>
      <c r="K11" s="1"/>
      <c r="L11" s="91"/>
      <c r="M11" s="90"/>
      <c r="N11" s="1"/>
      <c r="O11" s="1"/>
    </row>
    <row r="12" spans="1:15" customFormat="1">
      <c r="A12" s="89"/>
      <c r="B12" s="88"/>
      <c r="C12" s="88"/>
      <c r="D12" s="88"/>
      <c r="E12" s="87"/>
      <c r="F12" s="86"/>
      <c r="G12" s="85"/>
      <c r="H12" s="71"/>
      <c r="I12" s="70"/>
      <c r="J12" s="14"/>
      <c r="K12" s="1"/>
      <c r="L12" s="1"/>
      <c r="M12" s="1"/>
      <c r="N12" s="1"/>
      <c r="O12" s="1"/>
    </row>
    <row r="13" spans="1:15" customFormat="1">
      <c r="A13" s="84" t="s">
        <v>17</v>
      </c>
      <c r="B13" s="83"/>
      <c r="C13" s="83"/>
      <c r="D13" s="83"/>
      <c r="E13" s="82"/>
      <c r="F13" s="81" t="s">
        <v>16</v>
      </c>
      <c r="G13" s="80" t="s">
        <v>15</v>
      </c>
      <c r="H13" s="71"/>
      <c r="I13" s="70"/>
      <c r="J13" s="14"/>
      <c r="K13" s="1"/>
      <c r="L13" s="1"/>
      <c r="M13" s="1"/>
      <c r="N13" s="1"/>
      <c r="O13" s="1"/>
    </row>
    <row r="14" spans="1:15" customFormat="1">
      <c r="A14" s="79"/>
      <c r="B14" s="78"/>
      <c r="C14" s="78"/>
      <c r="D14" s="78"/>
      <c r="E14" s="77"/>
      <c r="F14" s="73"/>
      <c r="G14" s="72"/>
      <c r="H14" s="71"/>
      <c r="I14" s="70"/>
      <c r="J14" s="14"/>
      <c r="K14" s="1"/>
      <c r="L14" s="1"/>
      <c r="M14" s="1"/>
      <c r="N14" s="1"/>
      <c r="O14" s="1"/>
    </row>
    <row r="15" spans="1:15" customFormat="1">
      <c r="A15" s="79"/>
      <c r="B15" s="78"/>
      <c r="C15" s="78"/>
      <c r="D15" s="78"/>
      <c r="E15" s="77" t="s">
        <v>14</v>
      </c>
      <c r="F15" s="73"/>
      <c r="G15" s="72"/>
      <c r="H15" s="71"/>
      <c r="I15" s="70">
        <f>G15*F15</f>
        <v>0</v>
      </c>
      <c r="J15" s="14"/>
      <c r="K15" s="1"/>
      <c r="L15" s="1"/>
      <c r="M15" s="1"/>
      <c r="N15" s="1"/>
      <c r="O15" s="1"/>
    </row>
    <row r="16" spans="1:15" customFormat="1">
      <c r="A16" s="79"/>
      <c r="B16" s="78"/>
      <c r="C16" s="78"/>
      <c r="D16" s="78"/>
      <c r="E16" s="77" t="s">
        <v>13</v>
      </c>
      <c r="F16" s="73"/>
      <c r="G16" s="72"/>
      <c r="H16" s="71"/>
      <c r="I16" s="70">
        <f>G16*F16</f>
        <v>0</v>
      </c>
      <c r="J16" s="14"/>
      <c r="K16" s="1"/>
      <c r="L16" s="1"/>
      <c r="M16" s="1"/>
      <c r="N16" s="1"/>
      <c r="O16" s="1"/>
    </row>
    <row r="17" spans="1:15" customFormat="1">
      <c r="A17" s="76"/>
      <c r="B17" s="75"/>
      <c r="C17" s="75"/>
      <c r="D17" s="75"/>
      <c r="E17" s="74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 ht="15.75" thickBot="1">
      <c r="A18" s="69" t="s">
        <v>6</v>
      </c>
      <c r="B18" s="68"/>
      <c r="C18" s="68"/>
      <c r="D18" s="68"/>
      <c r="E18" s="67"/>
      <c r="F18" s="66">
        <f>SUM(F14:F17)</f>
        <v>0</v>
      </c>
      <c r="G18" s="65">
        <v>0</v>
      </c>
      <c r="H18" s="64"/>
      <c r="I18" s="63">
        <f>SUM(I14:I17)</f>
        <v>0</v>
      </c>
      <c r="J18" s="14"/>
      <c r="K18" s="1"/>
      <c r="L18" s="1"/>
      <c r="M18" s="1"/>
      <c r="N18" s="1"/>
      <c r="O18" s="1"/>
    </row>
    <row r="19" spans="1:15" customFormat="1" ht="18.75" customHeight="1" thickBot="1">
      <c r="A19" s="62" t="s">
        <v>12</v>
      </c>
      <c r="B19" s="61"/>
      <c r="C19" s="61"/>
      <c r="D19" s="61"/>
      <c r="E19" s="60"/>
      <c r="F19" s="59"/>
      <c r="G19" s="58"/>
      <c r="H19" s="53"/>
      <c r="I19" s="51">
        <f>+I18+I11</f>
        <v>23138</v>
      </c>
      <c r="J19" s="14"/>
      <c r="K19" s="1"/>
      <c r="L19" s="24"/>
      <c r="M19" s="1"/>
      <c r="N19" s="1"/>
      <c r="O19" s="1"/>
    </row>
    <row r="20" spans="1:15" customFormat="1" ht="18.75" customHeight="1" thickBot="1">
      <c r="A20" s="57" t="s">
        <v>11</v>
      </c>
      <c r="B20" s="56"/>
      <c r="C20" s="56"/>
      <c r="D20" s="56"/>
      <c r="E20" s="55"/>
      <c r="F20" s="54"/>
      <c r="G20" s="53"/>
      <c r="H20" s="52"/>
      <c r="I20" s="51">
        <f>+I19*12</f>
        <v>277656</v>
      </c>
      <c r="J20" s="14"/>
      <c r="K20" s="1"/>
      <c r="L20" s="1"/>
      <c r="M20" s="1"/>
      <c r="N20" s="1"/>
      <c r="O20" s="1"/>
    </row>
    <row r="21" spans="1:15" customFormat="1" ht="18.75" customHeight="1">
      <c r="A21" s="50" t="s">
        <v>10</v>
      </c>
      <c r="B21" s="49"/>
      <c r="C21" s="49"/>
      <c r="D21" s="49"/>
      <c r="E21" s="48" t="s">
        <v>9</v>
      </c>
      <c r="F21" s="48" t="s">
        <v>8</v>
      </c>
      <c r="G21" s="47" t="s">
        <v>7</v>
      </c>
      <c r="H21" s="46"/>
      <c r="I21" s="45"/>
      <c r="J21" s="14"/>
      <c r="K21" s="1"/>
      <c r="L21" s="1"/>
      <c r="M21" s="1"/>
      <c r="N21" s="1"/>
      <c r="O21" s="1"/>
    </row>
    <row r="22" spans="1:15" customFormat="1" ht="15.75" thickBot="1">
      <c r="A22" s="44" t="s">
        <v>6</v>
      </c>
      <c r="B22" s="43"/>
      <c r="C22" s="43"/>
      <c r="D22" s="43"/>
      <c r="E22" s="42">
        <f>38973/12</f>
        <v>3247.75</v>
      </c>
      <c r="F22" s="42">
        <f>E22*12</f>
        <v>38973</v>
      </c>
      <c r="G22" s="41">
        <f>E22/F11</f>
        <v>3.2283797216699801</v>
      </c>
      <c r="H22" s="40">
        <f>F22/I20</f>
        <v>0.14036433572478174</v>
      </c>
      <c r="I22" s="39"/>
      <c r="J22" s="14"/>
      <c r="K22" s="1"/>
      <c r="L22" s="24"/>
      <c r="M22" s="1"/>
      <c r="N22" s="1"/>
      <c r="O22" s="24"/>
    </row>
    <row r="23" spans="1:15" customFormat="1" ht="18.75" customHeight="1">
      <c r="A23" s="38" t="s">
        <v>5</v>
      </c>
      <c r="B23" s="37"/>
      <c r="C23" s="37"/>
      <c r="D23" s="37"/>
      <c r="E23" s="36"/>
      <c r="F23" s="35"/>
      <c r="G23" s="34"/>
      <c r="H23" s="33">
        <v>0.03</v>
      </c>
      <c r="I23" s="32">
        <f>+I20*-H23</f>
        <v>-8329.68</v>
      </c>
      <c r="J23" s="14"/>
      <c r="K23" s="1"/>
      <c r="L23" s="1"/>
      <c r="M23" s="1"/>
      <c r="N23" s="1"/>
      <c r="O23" s="24"/>
    </row>
    <row r="24" spans="1:15" customFormat="1" ht="18.75" customHeight="1">
      <c r="A24" s="31" t="s">
        <v>4</v>
      </c>
      <c r="B24" s="30"/>
      <c r="C24" s="30"/>
      <c r="D24" s="30"/>
      <c r="E24" s="29"/>
      <c r="F24" s="28"/>
      <c r="G24" s="27"/>
      <c r="H24" s="26"/>
      <c r="I24" s="25">
        <f>+I25/12</f>
        <v>19196.11</v>
      </c>
      <c r="J24" s="14"/>
      <c r="K24" s="1"/>
      <c r="L24" s="1"/>
      <c r="M24" s="1"/>
      <c r="N24" s="1"/>
      <c r="O24" s="24"/>
    </row>
    <row r="25" spans="1:15" customFormat="1" ht="18.75" customHeight="1">
      <c r="A25" s="20" t="s">
        <v>3</v>
      </c>
      <c r="B25" s="18"/>
      <c r="C25" s="18"/>
      <c r="D25" s="18"/>
      <c r="E25" s="19"/>
      <c r="F25" s="19"/>
      <c r="G25" s="23"/>
      <c r="H25" s="16"/>
      <c r="I25" s="21">
        <f>+I20-F22+I23</f>
        <v>230353.32</v>
      </c>
      <c r="J25" s="14"/>
      <c r="K25" s="1"/>
      <c r="L25" s="1"/>
      <c r="M25" s="1"/>
      <c r="N25" s="1"/>
      <c r="O25" s="1"/>
    </row>
    <row r="26" spans="1:15" customFormat="1" ht="18.75" customHeight="1">
      <c r="A26" s="20" t="s">
        <v>2</v>
      </c>
      <c r="B26" s="18"/>
      <c r="C26" s="18"/>
      <c r="D26" s="18"/>
      <c r="E26" s="19"/>
      <c r="F26" s="19"/>
      <c r="G26" s="22"/>
      <c r="H26" s="16">
        <v>0.13</v>
      </c>
      <c r="I26" s="21">
        <f>+I25/H26</f>
        <v>1771948.6153846155</v>
      </c>
      <c r="J26" s="14"/>
      <c r="K26" s="1"/>
      <c r="L26" s="1"/>
      <c r="M26" s="1"/>
      <c r="N26" s="1"/>
      <c r="O26" s="1"/>
    </row>
    <row r="27" spans="1:15" customFormat="1" ht="18.75" customHeight="1">
      <c r="A27" s="20" t="s">
        <v>1</v>
      </c>
      <c r="B27" s="18"/>
      <c r="C27" s="18"/>
      <c r="D27" s="18"/>
      <c r="E27" s="19"/>
      <c r="F27" s="18"/>
      <c r="G27" s="17"/>
      <c r="H27" s="16"/>
      <c r="I27" s="15">
        <f>ROUND(I26,-4)</f>
        <v>1770000</v>
      </c>
      <c r="J27" s="14"/>
      <c r="K27" s="1"/>
      <c r="L27" s="1"/>
      <c r="M27" s="1"/>
      <c r="N27" s="1"/>
      <c r="O27" s="1"/>
    </row>
    <row r="28" spans="1:15" customFormat="1" ht="16.5" thickBot="1">
      <c r="A28" s="13" t="s">
        <v>0</v>
      </c>
      <c r="B28" s="12"/>
      <c r="C28" s="12"/>
      <c r="D28" s="12"/>
      <c r="E28" s="11"/>
      <c r="F28" s="10"/>
      <c r="G28" s="9"/>
      <c r="H28" s="9"/>
      <c r="I28" s="8">
        <f>I27</f>
        <v>1770000</v>
      </c>
      <c r="J28" s="1"/>
      <c r="K28" s="1"/>
      <c r="L28" s="1"/>
      <c r="M28" s="1"/>
      <c r="N28" s="1"/>
      <c r="O28" s="1"/>
    </row>
    <row r="29" spans="1:15" customFormat="1">
      <c r="A29" s="2"/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s="1" customFormat="1">
      <c r="A93" s="2"/>
      <c r="F93" s="3"/>
      <c r="G93" s="4"/>
      <c r="H93" s="4"/>
    </row>
    <row r="94" spans="1:15" s="1" customFormat="1">
      <c r="A94" s="2"/>
      <c r="F94" s="3"/>
    </row>
    <row r="95" spans="1:15" s="1" customFormat="1">
      <c r="A95" s="2"/>
      <c r="F95" s="3"/>
    </row>
    <row r="96" spans="1:15" s="1" customFormat="1">
      <c r="A96" s="2"/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2011-08-24T12:05:44Z</dcterms:created>
  <dcterms:modified xsi:type="dcterms:W3CDTF">2011-08-24T12:09:59Z</dcterms:modified>
</cp:coreProperties>
</file>