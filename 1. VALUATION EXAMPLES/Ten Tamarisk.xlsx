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040" yWindow="1890" windowWidth="16395" windowHeight="66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F14"/>
  <c r="I14"/>
  <c r="G14" s="1"/>
  <c r="I18"/>
  <c r="I21" s="1"/>
  <c r="I22" s="1"/>
  <c r="I23" s="1"/>
  <c r="F21"/>
  <c r="E25"/>
  <c r="G25" s="1"/>
  <c r="I26" l="1"/>
  <c r="F25"/>
  <c r="H25" s="1"/>
  <c r="I28" l="1"/>
  <c r="I27" l="1"/>
  <c r="I29"/>
  <c r="I30" s="1"/>
  <c r="I31" s="1"/>
</calcChain>
</file>

<file path=xl/sharedStrings.xml><?xml version="1.0" encoding="utf-8"?>
<sst xmlns="http://schemas.openxmlformats.org/spreadsheetml/2006/main" count="37" uniqueCount="31">
  <si>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</si>
  <si>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</si>
  <si>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</si>
  <si>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</si>
  <si>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</si>
  <si>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</si>
  <si>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</si>
  <si>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</si>
  <si>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</si>
  <si>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</si>
  <si>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</si>
  <si>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</si>
  <si>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</si>
  <si>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</si>
  <si>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Carports</t>
  </si>
  <si>
    <t>R/bay</t>
  </si>
  <si>
    <t>No. bays</t>
  </si>
  <si>
    <t>Parking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</si>
  <si>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</si>
  <si>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</si>
  <si>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</si>
  <si>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</si>
  <si>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</si>
  <si>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</si>
  <si>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</si>
  <si>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</si>
  <si>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</si>
  <si>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</si>
  <si>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</si>
  <si>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</si>
  <si>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Ten Tamarisk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</si>
</sst>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28</v>
      </c>
      <c r="B1" s="129" t="s">
        <v>30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29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28</v>
      </c>
      <c r="B3" s="120" t="s">
        <v>27</v>
      </c>
      <c r="C3" s="120" t="s">
        <v>26</v>
      </c>
      <c r="D3" s="120" t="s">
        <v>25</v>
      </c>
      <c r="E3" s="120" t="s">
        <v>24</v>
      </c>
      <c r="F3" s="119" t="s">
        <v>23</v>
      </c>
      <c r="G3" s="118" t="s">
        <v>22</v>
      </c>
      <c r="H3" s="117" t="s">
        <v>21</v>
      </c>
      <c r="I3" s="116" t="s">
        <v>20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19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284</v>
      </c>
      <c r="G5" s="107">
        <v>60</v>
      </c>
      <c r="H5" s="106"/>
      <c r="I5" s="98">
        <f>G5*F5</f>
        <v>17040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284</v>
      </c>
      <c r="G14" s="94">
        <f>I14/F14</f>
        <v>60</v>
      </c>
      <c r="H14" s="93">
        <v>0</v>
      </c>
      <c r="I14" s="92">
        <f>SUM(I5:I12)</f>
        <v>17040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>
        <v>8</v>
      </c>
      <c r="G18" s="72">
        <v>350</v>
      </c>
      <c r="H18" s="71"/>
      <c r="I18" s="70">
        <f>G18*F18</f>
        <v>2800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/>
      <c r="G19" s="72"/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8</v>
      </c>
      <c r="G21" s="65">
        <v>0</v>
      </c>
      <c r="H21" s="64"/>
      <c r="I21" s="63">
        <f>SUM(I17:I20)</f>
        <v>2800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19840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238080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45548/12</f>
        <v>3795.6666666666665</v>
      </c>
      <c r="F25" s="42">
        <f>E25*12</f>
        <v>45548</v>
      </c>
      <c r="G25" s="41">
        <f>E25/F14</f>
        <v>13.365023474178404</v>
      </c>
      <c r="H25" s="40">
        <f>F25/I23</f>
        <v>0.19131384408602151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0.02</v>
      </c>
      <c r="I26" s="32">
        <f>+I23*-H26</f>
        <v>-4761.6000000000004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15647.533333333333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187770.4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0.11</v>
      </c>
      <c r="I29" s="21">
        <f>+I28/H29</f>
        <v>1707003.6363636362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1710000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1710000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2011-08-24T12:05:32Z</dcterms:created>
  <dcterms:modified xsi:type="dcterms:W3CDTF">2011-08-24T12:10:34Z</dcterms:modified>
</cp:coreProperties>
</file>