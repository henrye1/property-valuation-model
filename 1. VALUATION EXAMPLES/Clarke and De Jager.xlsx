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040" yWindow="1890" windowWidth="16395" windowHeight="66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F10"/>
  <c r="I10"/>
  <c r="G10" s="1"/>
  <c r="I14"/>
  <c r="I15"/>
  <c r="I17" s="1"/>
  <c r="I18" s="1"/>
  <c r="I19" s="1"/>
  <c r="I16"/>
  <c r="F17"/>
  <c r="E21"/>
  <c r="F21" s="1"/>
  <c r="G21"/>
  <c r="I22" l="1"/>
  <c r="I24"/>
  <c r="H21"/>
  <c r="I25" l="1"/>
  <c r="I26" s="1"/>
  <c r="I23"/>
</calcChain>
</file>

<file path=xl/sharedStrings.xml><?xml version="1.0" encoding="utf-8"?>
<sst xmlns="http://schemas.openxmlformats.org/spreadsheetml/2006/main" count="36" uniqueCount="31">
  <si>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</si>
  <si>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</si>
  <si>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</si>
  <si>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</si>
  <si>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</si>
  <si>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</si>
  <si>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</si>
  <si>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</si>
  <si>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</si>
  <si>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</si>
  <si>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</si>
  <si>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</si>
  <si>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</si>
  <si>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</si>
  <si>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</si>
  <si>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</si>
  <si>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</si>
  <si>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</si>
  <si>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Workshops and 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</si>
  <si>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</si>
  <si>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</si>
  <si>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</si>
  <si>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</si>
  <si>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</si>
  <si>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</si>
  <si>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</si>
  <si>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</si>
  <si>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</si>
  <si>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</si>
  <si>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Clarke and De Jager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</si>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</sst>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B6" sqref="B6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30</v>
      </c>
      <c r="B1" s="131" t="s">
        <v>29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28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27</v>
      </c>
      <c r="B3" s="123" t="s">
        <v>26</v>
      </c>
      <c r="C3" s="123" t="s">
        <v>25</v>
      </c>
      <c r="D3" s="123" t="s">
        <v>24</v>
      </c>
      <c r="E3" s="123" t="s">
        <v>23</v>
      </c>
      <c r="F3" s="122" t="s">
        <v>22</v>
      </c>
      <c r="G3" s="121" t="s">
        <v>21</v>
      </c>
      <c r="H3" s="120" t="s">
        <v>20</v>
      </c>
      <c r="I3" s="119" t="s">
        <v>19</v>
      </c>
      <c r="J3" s="16"/>
    </row>
    <row r="4" spans="1:13" s="1" customFormat="1" ht="26.25">
      <c r="A4" s="116" t="s">
        <v>18</v>
      </c>
      <c r="B4" s="116" t="s">
        <v>18</v>
      </c>
      <c r="C4" s="109" t="s">
        <v>17</v>
      </c>
      <c r="D4" s="109" t="s">
        <v>17</v>
      </c>
      <c r="E4" s="109" t="s">
        <v>17</v>
      </c>
      <c r="F4" s="118">
        <v>2762</v>
      </c>
      <c r="G4" s="113">
        <v>23.5</v>
      </c>
      <c r="H4" s="112"/>
      <c r="I4" s="105">
        <f>G4*F4</f>
        <v>64907</v>
      </c>
      <c r="J4" s="16"/>
      <c r="L4" s="99"/>
      <c r="M4" s="98"/>
    </row>
    <row r="5" spans="1:13" s="1" customFormat="1">
      <c r="A5" s="116"/>
      <c r="B5" s="116"/>
      <c r="C5" s="109"/>
      <c r="D5" s="109"/>
      <c r="E5" s="109"/>
      <c r="F5" s="117"/>
      <c r="G5" s="113"/>
      <c r="H5" s="112"/>
      <c r="I5" s="105"/>
      <c r="J5" s="16"/>
      <c r="L5" s="99"/>
      <c r="M5" s="98"/>
    </row>
    <row r="6" spans="1:13" s="1" customFormat="1">
      <c r="A6" s="116"/>
      <c r="B6" s="116"/>
      <c r="C6" s="109"/>
      <c r="D6" s="109"/>
      <c r="E6" s="109"/>
      <c r="F6" s="117"/>
      <c r="G6" s="113"/>
      <c r="H6" s="112"/>
      <c r="I6" s="105"/>
      <c r="J6" s="16"/>
      <c r="L6" s="99"/>
      <c r="M6" s="98"/>
    </row>
    <row r="7" spans="1:13" s="1" customFormat="1">
      <c r="A7" s="116"/>
      <c r="B7" s="115"/>
      <c r="C7" s="109"/>
      <c r="D7" s="109"/>
      <c r="E7" s="109"/>
      <c r="F7" s="117"/>
      <c r="G7" s="113"/>
      <c r="H7" s="112"/>
      <c r="I7" s="105"/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2762</v>
      </c>
      <c r="G10" s="101">
        <f>I10/F10</f>
        <v>23.5</v>
      </c>
      <c r="H10" s="100">
        <v>0</v>
      </c>
      <c r="I10" s="100">
        <f>SUM(I4:I9)</f>
        <v>64907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64907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778884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f>117359/12</f>
        <v>9779.9166666666661</v>
      </c>
      <c r="F21" s="50">
        <f>E21*12</f>
        <v>117359</v>
      </c>
      <c r="G21" s="49">
        <f>E21/F10</f>
        <v>3.5408822109582427</v>
      </c>
      <c r="H21" s="48">
        <f>F21/I19</f>
        <v>0.15067583876418056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0.02</v>
      </c>
      <c r="I22" s="40">
        <f>+I19*-H22</f>
        <v>-15577.68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53828.943333333329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645947.31999999995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0.13</v>
      </c>
      <c r="I25" s="29">
        <f>+I24/H25</f>
        <v>4968825.538461538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4970000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2011-08-24T12:20:03Z</dcterms:created>
  <dcterms:modified xsi:type="dcterms:W3CDTF">2011-08-24T12:23:00Z</dcterms:modified>
</cp:coreProperties>
</file>