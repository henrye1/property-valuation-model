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8" s="1"/>
  <c r="G8" s="1"/>
  <c r="I5"/>
  <c r="I6"/>
  <c r="F8"/>
  <c r="I12"/>
  <c r="I13"/>
  <c r="I15" s="1"/>
  <c r="I16" s="1"/>
  <c r="I17" s="1"/>
  <c r="I14"/>
  <c r="F15"/>
  <c r="E19"/>
  <c r="G19" s="1"/>
  <c r="I22" l="1"/>
  <c r="I20"/>
  <c r="H19"/>
  <c r="I23" l="1"/>
  <c r="I24" s="1"/>
  <c r="I21"/>
</calcChain>
</file>

<file path=xl/sharedStrings.xml><?xml version="1.0" encoding="utf-8"?>
<sst xmlns="http://schemas.openxmlformats.org/spreadsheetml/2006/main" count="43" uniqueCount="34">
  <si>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</si>
  <si>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</si>
  <si>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</si>
  <si>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</si>
  <si>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</si>
  <si>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</si>
  <si>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</si>
  <si>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</si>
  <si>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</si>
  <si>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</si>
  <si>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</si>
  <si>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</si>
  <si>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</si>
  <si>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Covered</t>
  </si>
  <si>
    <t>Open</t>
  </si>
  <si>
    <t>Gross/Net rent per month (R/m2/pm)</t>
  </si>
  <si>
    <t>Rentable area</t>
  </si>
  <si>
    <t>Parking</t>
  </si>
  <si>
    <t xml:space="preserve"> </t>
  </si>
  <si>
    <t>n/a</t>
  </si>
  <si>
    <t>197</t>
  </si>
  <si>
    <t>Offices</t>
  </si>
  <si>
    <t>Kriek &amp; Fouche (owner occupied)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</si>
  <si>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</si>
  <si>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</si>
  <si>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</si>
  <si>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Lease expiry date</t>
  </si>
  <si>
    <t>Lease period</t>
  </si>
  <si>
    <t>Annual escalation</t>
  </si>
  <si>
    <t>Description</t>
  </si>
  <si>
    <t>Tenant</t>
  </si>
  <si>
    <t>Date</t>
  </si>
  <si>
    <t xml:space="preserve">Bridgeport no. 45 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</si>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</sst>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 wrapText="1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zoomScaleNormal="100" workbookViewId="0">
      <selection activeCell="F10" sqref="F10"/>
    </sheetView>
  </sheetViews>
  <sheetFormatPr defaultRowHeight="15"/>
  <cols>
    <col min="1" max="1" width="28.42578125" style="2" customWidth="1"/>
    <col min="2" max="2" width="12.7109375" style="1" customWidth="1"/>
    <col min="3" max="3" width="23" style="1" customWidth="1"/>
    <col min="4" max="4" width="8.85546875" style="1" customWidth="1"/>
    <col min="5" max="5" width="11.140625" style="1" customWidth="1"/>
    <col min="6" max="6" width="15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1" t="s">
        <v>33</v>
      </c>
      <c r="B1" s="130" t="s">
        <v>32</v>
      </c>
      <c r="C1" s="130"/>
      <c r="D1" s="130"/>
      <c r="E1" s="128"/>
      <c r="F1" s="128"/>
      <c r="G1" s="129">
        <v>70017014</v>
      </c>
      <c r="H1" s="128"/>
      <c r="I1" s="127"/>
      <c r="J1" s="16"/>
    </row>
    <row r="2" spans="1:13" s="1" customFormat="1" ht="20.25" customHeight="1" thickBot="1">
      <c r="A2" s="126" t="s">
        <v>31</v>
      </c>
      <c r="B2" s="124"/>
      <c r="C2" s="124"/>
      <c r="D2" s="124"/>
      <c r="E2" s="125">
        <v>40730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30</v>
      </c>
      <c r="B3" s="121" t="s">
        <v>29</v>
      </c>
      <c r="C3" s="121" t="s">
        <v>28</v>
      </c>
      <c r="D3" s="121" t="s">
        <v>27</v>
      </c>
      <c r="E3" s="121" t="s">
        <v>26</v>
      </c>
      <c r="F3" s="120" t="s">
        <v>16</v>
      </c>
      <c r="G3" s="119" t="s">
        <v>25</v>
      </c>
      <c r="H3" s="118" t="s">
        <v>24</v>
      </c>
      <c r="I3" s="117" t="s">
        <v>23</v>
      </c>
      <c r="J3" s="16"/>
    </row>
    <row r="4" spans="1:13" s="1" customFormat="1" ht="26.25">
      <c r="A4" s="116" t="s">
        <v>22</v>
      </c>
      <c r="B4" s="115" t="s">
        <v>21</v>
      </c>
      <c r="C4" s="114"/>
      <c r="D4" s="114"/>
      <c r="E4" s="114"/>
      <c r="F4" s="114" t="s">
        <v>20</v>
      </c>
      <c r="G4" s="112">
        <v>95</v>
      </c>
      <c r="H4" s="111"/>
      <c r="I4" s="110">
        <f>G4*F4</f>
        <v>18715</v>
      </c>
      <c r="J4" s="16"/>
      <c r="L4" s="99"/>
      <c r="M4" s="98"/>
    </row>
    <row r="5" spans="1:13" s="1" customFormat="1">
      <c r="A5" s="116"/>
      <c r="B5" s="115"/>
      <c r="C5" s="114"/>
      <c r="D5" s="114" t="s">
        <v>19</v>
      </c>
      <c r="E5" s="114" t="s">
        <v>19</v>
      </c>
      <c r="F5" s="113"/>
      <c r="G5" s="112"/>
      <c r="H5" s="111"/>
      <c r="I5" s="110">
        <f>G5*F5</f>
        <v>0</v>
      </c>
      <c r="J5" s="16"/>
      <c r="K5" s="2"/>
      <c r="L5" s="99"/>
      <c r="M5" s="98"/>
    </row>
    <row r="6" spans="1:13" s="1" customFormat="1">
      <c r="A6" s="116"/>
      <c r="B6" s="115"/>
      <c r="C6" s="114"/>
      <c r="D6" s="114" t="s">
        <v>19</v>
      </c>
      <c r="E6" s="114" t="s">
        <v>19</v>
      </c>
      <c r="F6" s="113"/>
      <c r="G6" s="112"/>
      <c r="H6" s="111"/>
      <c r="I6" s="110">
        <f>G6*F6</f>
        <v>0</v>
      </c>
      <c r="J6" s="16"/>
      <c r="K6" s="2"/>
      <c r="L6" s="99"/>
      <c r="M6" s="98"/>
    </row>
    <row r="7" spans="1:13" s="1" customFormat="1">
      <c r="A7" s="109"/>
      <c r="B7" s="82" t="s">
        <v>18</v>
      </c>
      <c r="C7" s="90" t="s">
        <v>18</v>
      </c>
      <c r="D7" s="108" t="s">
        <v>18</v>
      </c>
      <c r="E7" s="108" t="s">
        <v>18</v>
      </c>
      <c r="F7" s="107"/>
      <c r="G7" s="106"/>
      <c r="H7" s="105"/>
      <c r="I7" s="78"/>
      <c r="J7" s="16"/>
      <c r="L7" s="99"/>
      <c r="M7" s="98"/>
    </row>
    <row r="8" spans="1:13" s="1" customFormat="1">
      <c r="A8" s="104" t="s">
        <v>5</v>
      </c>
      <c r="B8" s="103"/>
      <c r="C8" s="103"/>
      <c r="D8" s="103"/>
      <c r="E8" s="103"/>
      <c r="F8" s="102">
        <f>F4+F5+F6</f>
        <v>197</v>
      </c>
      <c r="G8" s="101">
        <f>I8/F8</f>
        <v>95</v>
      </c>
      <c r="H8" s="100">
        <v>0</v>
      </c>
      <c r="I8" s="100">
        <f>SUM(I4:I7)</f>
        <v>18715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 ht="45">
      <c r="A10" s="92" t="s">
        <v>17</v>
      </c>
      <c r="B10" s="91"/>
      <c r="C10" s="91"/>
      <c r="D10" s="91"/>
      <c r="E10" s="90"/>
      <c r="F10" s="89" t="s">
        <v>16</v>
      </c>
      <c r="G10" s="88" t="s">
        <v>15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14</v>
      </c>
      <c r="F12" s="81">
        <v>2</v>
      </c>
      <c r="G12" s="80">
        <v>200</v>
      </c>
      <c r="H12" s="79"/>
      <c r="I12" s="78">
        <f>G12*F12</f>
        <v>400</v>
      </c>
      <c r="J12" s="16"/>
    </row>
    <row r="13" spans="1:13" s="1" customFormat="1">
      <c r="A13" s="87"/>
      <c r="B13" s="86"/>
      <c r="C13" s="86"/>
      <c r="D13" s="86"/>
      <c r="E13" s="85" t="s">
        <v>13</v>
      </c>
      <c r="F13" s="81">
        <v>4</v>
      </c>
      <c r="G13" s="80">
        <v>400</v>
      </c>
      <c r="H13" s="79"/>
      <c r="I13" s="78">
        <f>G13*F13</f>
        <v>1600</v>
      </c>
      <c r="J13" s="16"/>
    </row>
    <row r="14" spans="1:13" s="1" customFormat="1">
      <c r="A14" s="84"/>
      <c r="B14" s="83"/>
      <c r="C14" s="83"/>
      <c r="D14" s="83"/>
      <c r="E14" s="82" t="s">
        <v>12</v>
      </c>
      <c r="F14" s="81">
        <v>5</v>
      </c>
      <c r="G14" s="80">
        <v>450</v>
      </c>
      <c r="H14" s="79"/>
      <c r="I14" s="78">
        <f>G14*F14</f>
        <v>2250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11</v>
      </c>
      <c r="G15" s="73"/>
      <c r="H15" s="72"/>
      <c r="I15" s="71">
        <f>SUM(I11:I14)</f>
        <v>4250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22965</v>
      </c>
      <c r="J16" s="16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275580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f>F19/12</f>
        <v>5386.18</v>
      </c>
      <c r="F19" s="50">
        <v>64634.16</v>
      </c>
      <c r="G19" s="49">
        <f>E19/F8</f>
        <v>27.341015228426397</v>
      </c>
      <c r="H19" s="48">
        <f>F19/I17</f>
        <v>0.23453864576529504</v>
      </c>
      <c r="I19" s="47"/>
      <c r="J19" s="16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0.03</v>
      </c>
      <c r="I20" s="40">
        <f>+I17*-H20</f>
        <v>-8267.4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16889.87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202678.44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9.5000000000000001E-2</v>
      </c>
      <c r="I23" s="29">
        <f>+I22/H23</f>
        <v>2133457.2631578948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2130000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2011-08-24T11:53:50Z</dcterms:created>
  <dcterms:modified xsi:type="dcterms:W3CDTF">2011-08-24T11:54:01Z</dcterms:modified>
</cp:coreProperties>
</file>