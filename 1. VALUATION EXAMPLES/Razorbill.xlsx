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F11" i="1"/>
  <c r="I11" i="1"/>
  <c r="G11" i="1" s="1"/>
  <c r="I15" i="1"/>
  <c r="I16" i="1"/>
  <c r="F18" i="1"/>
  <c r="I18" i="1"/>
  <c r="I19" i="1" s="1"/>
  <c r="F22" i="1"/>
  <c r="G22" i="1"/>
  <c r="H22" i="1"/>
  <c r="I23" i="1"/>
  <c r="I25" i="1"/>
  <c r="I24" i="1" s="1"/>
  <c r="I27" i="1"/>
  <c r="I28" i="1" s="1"/>
</calcChain>
</file>

<file path=xl/sharedStrings.xml><?xml version="1.0" encoding="utf-8"?>
<sst xmlns="http://schemas.openxmlformats.org/spreadsheetml/2006/main" count="39" uniqueCount="34">
  <si>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</si>
  <si>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</si>
  <si>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</si>
  <si>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</si>
  <si>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</si>
  <si>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</si>
  <si>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</si>
  <si>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</si>
  <si>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</si>
  <si>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</si>
  <si>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</si>
  <si>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</si>
  <si>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</si>
  <si>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</si>
  <si>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</si>
  <si>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</si>
  <si>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</si>
  <si>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</si>
  <si>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n/a</t>
  </si>
  <si>
    <t>Land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</si>
  <si>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</si>
  <si>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</si>
  <si>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</si>
  <si>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</si>
  <si>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</si>
  <si>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</si>
  <si>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</si>
  <si>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</si>
  <si>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</si>
  <si>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a</t>
  </si>
  <si>
    <t>Date</t>
  </si>
  <si>
    <t>Vacant land</t>
  </si>
  <si>
    <t>Razorbill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</si>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</sst>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wrapText="1"/>
    </xf>
    <xf numFmtId="49" fontId="6" fillId="0" borderId="30" xfId="0" applyNumberFormat="1" applyFont="1" applyBorder="1" applyAlignment="1">
      <alignment horizontal="right" wrapText="1"/>
    </xf>
    <xf numFmtId="0" fontId="6" fillId="0" borderId="0" xfId="0" applyNumberFormat="1" applyFont="1" applyBorder="1" applyAlignment="1">
      <alignment horizontal="center" wrapText="1"/>
    </xf>
    <xf numFmtId="14" fontId="6" fillId="0" borderId="30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167" fontId="2" fillId="0" borderId="30" xfId="0" applyNumberFormat="1" applyFont="1" applyBorder="1" applyAlignment="1">
      <alignment horizontal="center" wrapText="1"/>
    </xf>
    <xf numFmtId="49" fontId="5" fillId="0" borderId="3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8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5" t="s">
        <v>33</v>
      </c>
      <c r="B1" s="134" t="s">
        <v>32</v>
      </c>
      <c r="C1" s="134" t="s">
        <v>31</v>
      </c>
      <c r="D1" s="134"/>
      <c r="E1" s="132"/>
      <c r="F1" s="132"/>
      <c r="G1" s="133"/>
      <c r="H1" s="132"/>
      <c r="I1" s="131"/>
      <c r="J1" s="14"/>
    </row>
    <row r="2" spans="1:15" s="1" customFormat="1" ht="20.25" customHeight="1" thickBot="1" x14ac:dyDescent="0.3">
      <c r="A2" s="130" t="s">
        <v>30</v>
      </c>
      <c r="B2" s="128" t="s">
        <v>29</v>
      </c>
      <c r="C2" s="128"/>
      <c r="D2" s="128"/>
      <c r="E2" s="129">
        <v>40756</v>
      </c>
      <c r="F2" s="128"/>
      <c r="G2" s="128"/>
      <c r="H2" s="128"/>
      <c r="I2" s="127"/>
      <c r="J2" s="14"/>
    </row>
    <row r="3" spans="1:15" s="1" customFormat="1" ht="63.75" customHeight="1" thickBot="1" x14ac:dyDescent="0.3">
      <c r="A3" s="126" t="s">
        <v>28</v>
      </c>
      <c r="B3" s="125" t="s">
        <v>27</v>
      </c>
      <c r="C3" s="125" t="s">
        <v>26</v>
      </c>
      <c r="D3" s="125" t="s">
        <v>25</v>
      </c>
      <c r="E3" s="125" t="s">
        <v>24</v>
      </c>
      <c r="F3" s="124" t="s">
        <v>23</v>
      </c>
      <c r="G3" s="123" t="s">
        <v>22</v>
      </c>
      <c r="H3" s="122" t="s">
        <v>21</v>
      </c>
      <c r="I3" s="121" t="s">
        <v>20</v>
      </c>
      <c r="J3" s="14"/>
    </row>
    <row r="4" spans="1:15" s="1" customFormat="1" ht="18" customHeight="1" x14ac:dyDescent="0.25">
      <c r="A4" s="120"/>
      <c r="B4" s="118"/>
      <c r="C4" s="119"/>
      <c r="D4" s="119"/>
      <c r="E4" s="119"/>
      <c r="F4" s="118"/>
      <c r="G4" s="117"/>
      <c r="H4" s="105"/>
      <c r="I4" s="117"/>
      <c r="J4" s="14"/>
    </row>
    <row r="5" spans="1:15" s="1" customFormat="1" ht="18" customHeight="1" x14ac:dyDescent="0.25">
      <c r="A5" s="110" t="s">
        <v>19</v>
      </c>
      <c r="B5" s="115" t="s">
        <v>18</v>
      </c>
      <c r="C5" s="102" t="s">
        <v>13</v>
      </c>
      <c r="D5" s="102" t="s">
        <v>13</v>
      </c>
      <c r="E5" s="114" t="s">
        <v>18</v>
      </c>
      <c r="F5" s="113">
        <v>5284</v>
      </c>
      <c r="G5" s="116">
        <v>2500</v>
      </c>
      <c r="H5" s="112"/>
      <c r="I5" s="98">
        <f>F5*G5</f>
        <v>13210000</v>
      </c>
      <c r="J5" s="111"/>
    </row>
    <row r="6" spans="1:15" s="1" customFormat="1" ht="18" customHeight="1" x14ac:dyDescent="0.25">
      <c r="A6" s="110"/>
      <c r="B6" s="115"/>
      <c r="C6" s="102"/>
      <c r="D6" s="102"/>
      <c r="E6" s="114"/>
      <c r="F6" s="113"/>
      <c r="G6" s="116"/>
      <c r="H6" s="112"/>
      <c r="I6" s="98"/>
      <c r="J6" s="111"/>
    </row>
    <row r="7" spans="1:15" s="1" customFormat="1" ht="18" customHeight="1" x14ac:dyDescent="0.25">
      <c r="A7" s="110"/>
      <c r="B7" s="115"/>
      <c r="C7" s="102"/>
      <c r="D7" s="102"/>
      <c r="E7" s="114"/>
      <c r="F7" s="113"/>
      <c r="G7" s="102"/>
      <c r="H7" s="112"/>
      <c r="I7" s="98"/>
      <c r="J7" s="111"/>
    </row>
    <row r="8" spans="1:15" s="1" customFormat="1" ht="18" customHeight="1" x14ac:dyDescent="0.25">
      <c r="A8" s="110"/>
      <c r="B8" s="115"/>
      <c r="C8" s="102"/>
      <c r="D8" s="102"/>
      <c r="E8" s="114"/>
      <c r="F8" s="113"/>
      <c r="G8" s="102"/>
      <c r="H8" s="112"/>
      <c r="I8" s="98"/>
      <c r="J8" s="111"/>
    </row>
    <row r="9" spans="1:15" s="1" customFormat="1" ht="18" customHeight="1" x14ac:dyDescent="0.25">
      <c r="A9" s="110"/>
      <c r="B9" s="109"/>
      <c r="C9" s="102"/>
      <c r="D9" s="108"/>
      <c r="E9" s="108"/>
      <c r="F9" s="107"/>
      <c r="G9" s="106"/>
      <c r="H9" s="105"/>
      <c r="I9" s="98"/>
      <c r="J9" s="14"/>
    </row>
    <row r="10" spans="1:15" s="1" customFormat="1" ht="15.75" thickBot="1" x14ac:dyDescent="0.3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L10" s="91"/>
      <c r="M10" s="90"/>
    </row>
    <row r="11" spans="1:15" s="1" customFormat="1" x14ac:dyDescent="0.25">
      <c r="A11" s="97" t="s">
        <v>6</v>
      </c>
      <c r="B11" s="74"/>
      <c r="C11" s="96"/>
      <c r="D11" s="96"/>
      <c r="E11" s="96"/>
      <c r="F11" s="95">
        <f>SUM(F5:F10)</f>
        <v>5284</v>
      </c>
      <c r="G11" s="94">
        <f>I11/F11</f>
        <v>2500</v>
      </c>
      <c r="H11" s="93">
        <v>0</v>
      </c>
      <c r="I11" s="92">
        <f>SUM(I5:I8)</f>
        <v>13210000</v>
      </c>
      <c r="J11" s="14"/>
      <c r="L11" s="91"/>
      <c r="M11" s="90"/>
    </row>
    <row r="12" spans="1:15" customFormat="1" x14ac:dyDescent="0.25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 x14ac:dyDescent="0.25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 x14ac:dyDescent="0.25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 x14ac:dyDescent="0.25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 x14ac:dyDescent="0.25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 x14ac:dyDescent="0.25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 x14ac:dyDescent="0.3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 x14ac:dyDescent="0.3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13210000</v>
      </c>
      <c r="J19" s="14"/>
      <c r="K19" s="1"/>
      <c r="L19" s="24"/>
      <c r="M19" s="1"/>
      <c r="N19" s="1"/>
      <c r="O19" s="1"/>
    </row>
    <row r="20" spans="1:15" customFormat="1" ht="18.75" customHeight="1" thickBot="1" x14ac:dyDescent="0.3">
      <c r="A20" s="57" t="s">
        <v>11</v>
      </c>
      <c r="B20" s="56"/>
      <c r="C20" s="56"/>
      <c r="D20" s="56"/>
      <c r="E20" s="55"/>
      <c r="F20" s="54"/>
      <c r="G20" s="53"/>
      <c r="H20" s="52"/>
      <c r="I20" s="51">
        <v>0</v>
      </c>
      <c r="J20" s="14"/>
      <c r="K20" s="1"/>
      <c r="L20" s="1"/>
      <c r="M20" s="1"/>
      <c r="N20" s="1"/>
      <c r="O20" s="1"/>
    </row>
    <row r="21" spans="1:15" customFormat="1" ht="18.75" customHeight="1" x14ac:dyDescent="0.25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 x14ac:dyDescent="0.3">
      <c r="A22" s="44" t="s">
        <v>6</v>
      </c>
      <c r="B22" s="43"/>
      <c r="C22" s="43"/>
      <c r="D22" s="43"/>
      <c r="E22" s="42">
        <v>0</v>
      </c>
      <c r="F22" s="42">
        <f>E22*12</f>
        <v>0</v>
      </c>
      <c r="G22" s="41">
        <f>E22/F11</f>
        <v>0</v>
      </c>
      <c r="H22" s="40" t="e">
        <f>F22/I20</f>
        <v>#DIV/0!</v>
      </c>
      <c r="I22" s="39"/>
      <c r="J22" s="14"/>
      <c r="K22" s="1"/>
      <c r="L22" s="24"/>
      <c r="M22" s="1"/>
      <c r="N22" s="1"/>
      <c r="O22" s="24"/>
    </row>
    <row r="23" spans="1:15" customFormat="1" ht="18.75" customHeight="1" x14ac:dyDescent="0.25">
      <c r="A23" s="38" t="s">
        <v>5</v>
      </c>
      <c r="B23" s="37"/>
      <c r="C23" s="37"/>
      <c r="D23" s="37"/>
      <c r="E23" s="36"/>
      <c r="F23" s="35"/>
      <c r="G23" s="34"/>
      <c r="H23" s="33">
        <v>0</v>
      </c>
      <c r="I23" s="32">
        <f>+I20*-H23</f>
        <v>0</v>
      </c>
      <c r="J23" s="14"/>
      <c r="K23" s="1"/>
      <c r="L23" s="1"/>
      <c r="M23" s="1"/>
      <c r="N23" s="1"/>
      <c r="O23" s="24"/>
    </row>
    <row r="24" spans="1:15" customFormat="1" ht="18.75" customHeight="1" x14ac:dyDescent="0.25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0</v>
      </c>
      <c r="J24" s="14"/>
      <c r="K24" s="1"/>
      <c r="L24" s="1"/>
      <c r="M24" s="1"/>
      <c r="N24" s="1"/>
      <c r="O24" s="24"/>
    </row>
    <row r="25" spans="1:15" customFormat="1" ht="18.75" customHeight="1" x14ac:dyDescent="0.25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0</v>
      </c>
      <c r="J25" s="14"/>
      <c r="K25" s="1"/>
      <c r="L25" s="1"/>
      <c r="M25" s="1"/>
      <c r="N25" s="1"/>
      <c r="O25" s="1"/>
    </row>
    <row r="26" spans="1:15" customFormat="1" ht="18.75" customHeight="1" x14ac:dyDescent="0.25">
      <c r="A26" s="20" t="s">
        <v>2</v>
      </c>
      <c r="B26" s="18"/>
      <c r="C26" s="18"/>
      <c r="D26" s="18"/>
      <c r="E26" s="19"/>
      <c r="F26" s="19"/>
      <c r="G26" s="22"/>
      <c r="H26" s="16"/>
      <c r="I26" s="21">
        <v>13210000</v>
      </c>
      <c r="J26" s="14"/>
      <c r="K26" s="1"/>
      <c r="L26" s="1"/>
      <c r="M26" s="1"/>
      <c r="N26" s="1"/>
      <c r="O26" s="1"/>
    </row>
    <row r="27" spans="1:15" customFormat="1" ht="18.75" customHeight="1" x14ac:dyDescent="0.25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13210000</v>
      </c>
      <c r="J27" s="14"/>
      <c r="K27" s="1"/>
      <c r="L27" s="1"/>
      <c r="M27" s="1"/>
      <c r="N27" s="1"/>
      <c r="O27" s="1"/>
    </row>
    <row r="28" spans="1:15" customFormat="1" ht="16.5" thickBot="1" x14ac:dyDescent="0.3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13210000</v>
      </c>
      <c r="J28" s="1"/>
      <c r="K28" s="1"/>
      <c r="L28" s="1"/>
      <c r="M28" s="1"/>
      <c r="N28" s="1"/>
      <c r="O28" s="1"/>
    </row>
    <row r="29" spans="1:15" customFormat="1" x14ac:dyDescent="0.25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s="1" customFormat="1" x14ac:dyDescent="0.25">
      <c r="A79" s="2"/>
      <c r="F79" s="3"/>
      <c r="G79" s="4"/>
      <c r="H79" s="4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2011-08-24T12:17:32Z</dcterms:created>
  <dcterms:modified xsi:type="dcterms:W3CDTF">2011-08-24T12:17:43Z</dcterms:modified>
</cp:coreProperties>
</file>