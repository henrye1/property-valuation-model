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360" windowWidth="17835" windowHeight="819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6"/>
  <c r="I7"/>
  <c r="I8"/>
  <c r="I9"/>
  <c r="F10"/>
  <c r="H10"/>
  <c r="I10"/>
  <c r="G10" s="1"/>
  <c r="I13"/>
  <c r="I14"/>
  <c r="I15"/>
  <c r="F16"/>
  <c r="I16"/>
  <c r="I17" s="1"/>
  <c r="I18" s="1"/>
  <c r="F20"/>
  <c r="I21" l="1"/>
  <c r="I23"/>
  <c r="H20"/>
  <c r="I24" l="1"/>
  <c r="I22"/>
  <c r="I25" l="1"/>
  <c r="I26"/>
</calcChain>
</file>

<file path=xl/sharedStrings.xml><?xml version="1.0" encoding="utf-8"?>
<sst xmlns="http://schemas.openxmlformats.org/spreadsheetml/2006/main" count="53" uniqueCount="42">
  <si>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</si>
  <si>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</si>
  <si>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</si>
  <si>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</si>
  <si>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</si>
  <si>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</si>
  <si>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</si>
  <si>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</si>
  <si>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</si>
  <si>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</si>
  <si>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</si>
  <si>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</si>
  <si>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</si>
  <si>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</si>
  <si>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</si>
  <si>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</si>
  <si>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</si>
  <si>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</si>
  <si>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</si>
  <si>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>31/03/2011</t>
  </si>
  <si>
    <t>N/a</t>
  </si>
  <si>
    <t>n/a</t>
  </si>
  <si>
    <t>Offices</t>
  </si>
  <si>
    <t>Sanlam</t>
  </si>
  <si>
    <t>31/12/2010</t>
  </si>
  <si>
    <t>Old Mutual</t>
  </si>
  <si>
    <t>31/07/2012</t>
  </si>
  <si>
    <t>Momentum</t>
  </si>
  <si>
    <t>31/05/2012</t>
  </si>
  <si>
    <t>Chris Bosoff</t>
  </si>
  <si>
    <t>Gross monthly rent</t>
  </si>
  <si>
    <r>
      <t>Monthly operating expenses (R/m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/pm)</t>
    </r>
  </si>
  <si>
    <r>
      <t>Gross/Net rent per month (R/m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/pm)</t>
    </r>
  </si>
  <si>
    <t>Rentable area</t>
  </si>
  <si>
    <t>Expiry date</t>
  </si>
  <si>
    <t>Lease period</t>
  </si>
  <si>
    <t>Annual escalation</t>
  </si>
  <si>
    <t>Description</t>
  </si>
  <si>
    <t>Tenant</t>
  </si>
  <si>
    <t>Date</t>
  </si>
  <si>
    <t>Erf 371 Three Rivers</t>
  </si>
  <si>
    <t xml:space="preserve">Building name : </t>
  </si>
</sst>
</file>

<file path=xl/styles.xml><?xml version="1.0" encoding="utf-8"?>
<styleSheet xmlns="http://schemas.openxmlformats.org/spreadsheetml/2006/main">
  <numFmts count="3">
    <numFmt numFmtId="164" formatCode="&quot;R&quot;#,##0_);\(&quot;R&quot;#,##0\)"/>
    <numFmt numFmtId="165" formatCode="&quot;R&quot;#,##0.00_);\(&quot;R&quot;#,##0.00\)"/>
    <numFmt numFmtId="166" formatCode="&quot;R&quot;\ #,##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  <font>
      <b/>
      <sz val="12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</fills>
  <borders count="49">
    <border>
      <left/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6">
    <xf numFmtId="0" fontId="0" fillId="0" borderId="0" xfId="0"/>
    <xf numFmtId="164" fontId="2" fillId="0" borderId="1" xfId="0" applyNumberFormat="1" applyFont="1" applyBorder="1"/>
    <xf numFmtId="10" fontId="2" fillId="2" borderId="2" xfId="1" applyNumberFormat="1" applyFont="1" applyFill="1" applyBorder="1"/>
    <xf numFmtId="9" fontId="2" fillId="0" borderId="3" xfId="1" applyFont="1" applyBorder="1"/>
    <xf numFmtId="49" fontId="2" fillId="0" borderId="3" xfId="0" applyNumberFormat="1" applyFont="1" applyBorder="1" applyAlignment="1">
      <alignment horizontal="left" wrapText="1"/>
    </xf>
    <xf numFmtId="49" fontId="3" fillId="0" borderId="3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164" fontId="2" fillId="0" borderId="5" xfId="0" applyNumberFormat="1" applyFont="1" applyBorder="1"/>
    <xf numFmtId="10" fontId="2" fillId="2" borderId="6" xfId="1" applyNumberFormat="1" applyFont="1" applyFill="1" applyBorder="1"/>
    <xf numFmtId="165" fontId="2" fillId="0" borderId="7" xfId="0" applyNumberFormat="1" applyFont="1" applyBorder="1"/>
    <xf numFmtId="49" fontId="2" fillId="0" borderId="7" xfId="0" applyNumberFormat="1" applyFont="1" applyBorder="1" applyAlignment="1">
      <alignment horizontal="left" wrapText="1"/>
    </xf>
    <xf numFmtId="49" fontId="3" fillId="0" borderId="7" xfId="0" applyNumberFormat="1" applyFont="1" applyBorder="1" applyAlignment="1">
      <alignment horizontal="left" wrapText="1"/>
    </xf>
    <xf numFmtId="49" fontId="2" fillId="0" borderId="8" xfId="0" applyNumberFormat="1" applyFont="1" applyBorder="1" applyAlignment="1">
      <alignment horizontal="left" wrapText="1"/>
    </xf>
    <xf numFmtId="164" fontId="0" fillId="0" borderId="5" xfId="0" applyNumberFormat="1" applyBorder="1"/>
    <xf numFmtId="10" fontId="4" fillId="2" borderId="6" xfId="1" applyNumberFormat="1" applyFont="1" applyFill="1" applyBorder="1"/>
    <xf numFmtId="9" fontId="5" fillId="0" borderId="7" xfId="1" applyFont="1" applyBorder="1"/>
    <xf numFmtId="49" fontId="0" fillId="0" borderId="7" xfId="0" applyNumberFormat="1" applyBorder="1" applyAlignment="1">
      <alignment horizontal="left" wrapText="1"/>
    </xf>
    <xf numFmtId="49" fontId="4" fillId="0" borderId="7" xfId="0" applyNumberFormat="1" applyFont="1" applyBorder="1" applyAlignment="1">
      <alignment horizontal="left" wrapText="1"/>
    </xf>
    <xf numFmtId="49" fontId="4" fillId="0" borderId="8" xfId="0" applyNumberFormat="1" applyFont="1" applyBorder="1" applyAlignment="1">
      <alignment horizontal="left" wrapText="1"/>
    </xf>
    <xf numFmtId="165" fontId="0" fillId="0" borderId="7" xfId="0" applyNumberFormat="1" applyBorder="1"/>
    <xf numFmtId="164" fontId="0" fillId="0" borderId="9" xfId="0" applyNumberFormat="1" applyBorder="1"/>
    <xf numFmtId="10" fontId="4" fillId="2" borderId="10" xfId="1" applyNumberFormat="1" applyFont="1" applyFill="1" applyBorder="1"/>
    <xf numFmtId="9" fontId="5" fillId="0" borderId="11" xfId="1" applyFont="1" applyBorder="1"/>
    <xf numFmtId="49" fontId="0" fillId="0" borderId="11" xfId="0" applyNumberFormat="1" applyBorder="1" applyAlignment="1">
      <alignment wrapText="1"/>
    </xf>
    <xf numFmtId="49" fontId="0" fillId="0" borderId="11" xfId="0" applyNumberFormat="1" applyBorder="1" applyAlignment="1">
      <alignment horizontal="left" wrapText="1"/>
    </xf>
    <xf numFmtId="49" fontId="4" fillId="0" borderId="11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164" fontId="0" fillId="0" borderId="13" xfId="0" applyNumberFormat="1" applyBorder="1"/>
    <xf numFmtId="10" fontId="4" fillId="2" borderId="14" xfId="1" applyNumberFormat="1" applyFont="1" applyFill="1" applyBorder="1"/>
    <xf numFmtId="9" fontId="5" fillId="0" borderId="15" xfId="1" applyFont="1" applyBorder="1"/>
    <xf numFmtId="49" fontId="0" fillId="0" borderId="15" xfId="0" applyNumberFormat="1" applyBorder="1" applyAlignment="1">
      <alignment wrapText="1"/>
    </xf>
    <xf numFmtId="49" fontId="0" fillId="0" borderId="15" xfId="0" applyNumberFormat="1" applyBorder="1" applyAlignment="1">
      <alignment horizontal="left" wrapText="1"/>
    </xf>
    <xf numFmtId="49" fontId="4" fillId="0" borderId="15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164" fontId="0" fillId="0" borderId="17" xfId="0" applyNumberFormat="1" applyBorder="1"/>
    <xf numFmtId="0" fontId="5" fillId="0" borderId="18" xfId="1" applyNumberFormat="1" applyFont="1" applyBorder="1"/>
    <xf numFmtId="166" fontId="0" fillId="0" borderId="19" xfId="0" applyNumberFormat="1" applyBorder="1" applyAlignment="1">
      <alignment horizontal="right" wrapText="1"/>
    </xf>
    <xf numFmtId="166" fontId="0" fillId="3" borderId="19" xfId="0" applyNumberFormat="1" applyFill="1" applyBorder="1" applyAlignment="1">
      <alignment horizontal="right" wrapText="1"/>
    </xf>
    <xf numFmtId="49" fontId="0" fillId="0" borderId="20" xfId="0" applyNumberFormat="1" applyBorder="1" applyAlignment="1">
      <alignment horizontal="left" wrapText="1"/>
    </xf>
    <xf numFmtId="49" fontId="0" fillId="0" borderId="21" xfId="0" applyNumberFormat="1" applyBorder="1" applyAlignment="1">
      <alignment horizontal="left" wrapText="1"/>
    </xf>
    <xf numFmtId="164" fontId="0" fillId="0" borderId="22" xfId="0" applyNumberFormat="1" applyBorder="1"/>
    <xf numFmtId="165" fontId="0" fillId="0" borderId="23" xfId="0" applyNumberFormat="1" applyBorder="1"/>
    <xf numFmtId="10" fontId="4" fillId="0" borderId="24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wrapText="1"/>
    </xf>
    <xf numFmtId="49" fontId="4" fillId="0" borderId="25" xfId="0" applyNumberFormat="1" applyFont="1" applyBorder="1" applyAlignment="1">
      <alignment horizontal="left" wrapText="1"/>
    </xf>
    <xf numFmtId="49" fontId="4" fillId="0" borderId="26" xfId="0" applyNumberFormat="1" applyFont="1" applyBorder="1" applyAlignment="1">
      <alignment horizontal="left" wrapText="1"/>
    </xf>
    <xf numFmtId="164" fontId="4" fillId="0" borderId="27" xfId="0" applyNumberFormat="1" applyFont="1" applyBorder="1"/>
    <xf numFmtId="14" fontId="4" fillId="0" borderId="28" xfId="0" applyNumberFormat="1" applyFont="1" applyBorder="1"/>
    <xf numFmtId="165" fontId="4" fillId="0" borderId="28" xfId="0" applyNumberFormat="1" applyFont="1" applyBorder="1"/>
    <xf numFmtId="49" fontId="4" fillId="0" borderId="29" xfId="0" applyNumberFormat="1" applyFont="1" applyBorder="1" applyAlignment="1">
      <alignment horizontal="centerContinuous" wrapText="1"/>
    </xf>
    <xf numFmtId="49" fontId="4" fillId="0" borderId="29" xfId="0" applyNumberFormat="1" applyFont="1" applyBorder="1" applyAlignment="1">
      <alignment horizontal="left" wrapText="1"/>
    </xf>
    <xf numFmtId="14" fontId="4" fillId="0" borderId="29" xfId="0" applyNumberFormat="1" applyFont="1" applyBorder="1"/>
    <xf numFmtId="14" fontId="4" fillId="0" borderId="30" xfId="0" applyNumberFormat="1" applyFont="1" applyBorder="1"/>
    <xf numFmtId="165" fontId="4" fillId="0" borderId="31" xfId="0" applyNumberFormat="1" applyFont="1" applyBorder="1"/>
    <xf numFmtId="1" fontId="4" fillId="0" borderId="28" xfId="0" applyNumberFormat="1" applyFont="1" applyBorder="1"/>
    <xf numFmtId="49" fontId="4" fillId="0" borderId="31" xfId="0" applyNumberFormat="1" applyFont="1" applyBorder="1" applyAlignment="1">
      <alignment horizontal="left" wrapText="1"/>
    </xf>
    <xf numFmtId="49" fontId="4" fillId="0" borderId="28" xfId="0" applyNumberFormat="1" applyFont="1" applyBorder="1" applyAlignment="1">
      <alignment horizontal="left" wrapText="1"/>
    </xf>
    <xf numFmtId="49" fontId="4" fillId="0" borderId="32" xfId="0" applyNumberFormat="1" applyFont="1" applyBorder="1" applyAlignment="1">
      <alignment horizontal="left" wrapText="1"/>
    </xf>
    <xf numFmtId="164" fontId="0" fillId="0" borderId="27" xfId="0" applyNumberFormat="1" applyBorder="1"/>
    <xf numFmtId="165" fontId="0" fillId="0" borderId="28" xfId="0" applyNumberFormat="1" applyBorder="1"/>
    <xf numFmtId="165" fontId="0" fillId="0" borderId="31" xfId="0" applyNumberFormat="1" applyBorder="1"/>
    <xf numFmtId="1" fontId="0" fillId="0" borderId="28" xfId="0" applyNumberFormat="1" applyBorder="1"/>
    <xf numFmtId="49" fontId="0" fillId="0" borderId="31" xfId="0" applyNumberFormat="1" applyBorder="1" applyAlignment="1">
      <alignment horizontal="left" wrapText="1"/>
    </xf>
    <xf numFmtId="49" fontId="0" fillId="0" borderId="28" xfId="0" applyNumberFormat="1" applyBorder="1" applyAlignment="1">
      <alignment horizontal="left" wrapText="1"/>
    </xf>
    <xf numFmtId="49" fontId="0" fillId="0" borderId="32" xfId="0" applyNumberFormat="1" applyBorder="1" applyAlignment="1">
      <alignment horizontal="left" wrapText="1"/>
    </xf>
    <xf numFmtId="164" fontId="0" fillId="0" borderId="33" xfId="0" applyNumberFormat="1" applyBorder="1"/>
    <xf numFmtId="165" fontId="0" fillId="0" borderId="34" xfId="0" applyNumberFormat="1" applyBorder="1"/>
    <xf numFmtId="165" fontId="0" fillId="0" borderId="35" xfId="0" applyNumberFormat="1" applyBorder="1"/>
    <xf numFmtId="1" fontId="0" fillId="0" borderId="34" xfId="0" applyNumberFormat="1" applyBorder="1"/>
    <xf numFmtId="49" fontId="0" fillId="0" borderId="35" xfId="0" applyNumberFormat="1" applyBorder="1" applyAlignment="1">
      <alignment horizontal="left" wrapText="1"/>
    </xf>
    <xf numFmtId="49" fontId="0" fillId="0" borderId="34" xfId="0" applyNumberFormat="1" applyBorder="1" applyAlignment="1">
      <alignment horizontal="right" wrapText="1"/>
    </xf>
    <xf numFmtId="49" fontId="0" fillId="0" borderId="36" xfId="0" applyNumberFormat="1" applyBorder="1" applyAlignment="1">
      <alignment horizontal="right" wrapText="1"/>
    </xf>
    <xf numFmtId="164" fontId="0" fillId="0" borderId="37" xfId="0" applyNumberFormat="1" applyBorder="1"/>
    <xf numFmtId="165" fontId="0" fillId="0" borderId="0" xfId="0" applyNumberFormat="1" applyBorder="1"/>
    <xf numFmtId="165" fontId="0" fillId="0" borderId="38" xfId="0" applyNumberFormat="1" applyBorder="1"/>
    <xf numFmtId="1" fontId="0" fillId="0" borderId="0" xfId="0" applyNumberFormat="1" applyBorder="1"/>
    <xf numFmtId="49" fontId="0" fillId="0" borderId="38" xfId="0" applyNumberFormat="1" applyBorder="1" applyAlignment="1">
      <alignment horizontal="left" wrapText="1"/>
    </xf>
    <xf numFmtId="49" fontId="0" fillId="0" borderId="0" xfId="0" applyNumberFormat="1" applyBorder="1" applyAlignment="1">
      <alignment horizontal="right" wrapText="1"/>
    </xf>
    <xf numFmtId="49" fontId="0" fillId="0" borderId="39" xfId="0" applyNumberFormat="1" applyBorder="1" applyAlignment="1">
      <alignment horizontal="right" wrapText="1"/>
    </xf>
    <xf numFmtId="165" fontId="4" fillId="0" borderId="35" xfId="0" applyNumberFormat="1" applyFont="1" applyBorder="1" applyAlignment="1">
      <alignment horizontal="center"/>
    </xf>
    <xf numFmtId="1" fontId="4" fillId="0" borderId="34" xfId="0" applyNumberFormat="1" applyFont="1" applyBorder="1" applyAlignment="1">
      <alignment horizontal="center"/>
    </xf>
    <xf numFmtId="49" fontId="0" fillId="0" borderId="35" xfId="0" applyNumberFormat="1" applyBorder="1" applyAlignment="1">
      <alignment horizontal="center" wrapText="1"/>
    </xf>
    <xf numFmtId="49" fontId="4" fillId="0" borderId="34" xfId="0" applyNumberFormat="1" applyFont="1" applyBorder="1" applyAlignment="1">
      <alignment horizontal="center" wrapText="1"/>
    </xf>
    <xf numFmtId="49" fontId="4" fillId="0" borderId="36" xfId="0" applyNumberFormat="1" applyFont="1" applyBorder="1" applyAlignment="1">
      <alignment horizontal="center" wrapText="1"/>
    </xf>
    <xf numFmtId="165" fontId="0" fillId="3" borderId="40" xfId="0" applyNumberFormat="1" applyFill="1" applyBorder="1"/>
    <xf numFmtId="1" fontId="0" fillId="3" borderId="41" xfId="0" applyNumberFormat="1" applyFill="1" applyBorder="1"/>
    <xf numFmtId="49" fontId="0" fillId="3" borderId="40" xfId="0" applyNumberFormat="1" applyFill="1" applyBorder="1" applyAlignment="1">
      <alignment horizontal="left" wrapText="1"/>
    </xf>
    <xf numFmtId="49" fontId="0" fillId="3" borderId="41" xfId="0" applyNumberFormat="1" applyFill="1" applyBorder="1" applyAlignment="1">
      <alignment horizontal="left" wrapText="1"/>
    </xf>
    <xf numFmtId="49" fontId="0" fillId="3" borderId="42" xfId="0" applyNumberFormat="1" applyFill="1" applyBorder="1" applyAlignment="1">
      <alignment horizontal="left" wrapText="1"/>
    </xf>
    <xf numFmtId="4" fontId="0" fillId="0" borderId="43" xfId="0" applyNumberFormat="1" applyBorder="1"/>
    <xf numFmtId="3" fontId="0" fillId="0" borderId="41" xfId="0" applyNumberFormat="1" applyBorder="1"/>
    <xf numFmtId="49" fontId="0" fillId="0" borderId="40" xfId="0" applyNumberFormat="1" applyBorder="1" applyAlignment="1">
      <alignment horizontal="left" wrapText="1"/>
    </xf>
    <xf numFmtId="49" fontId="0" fillId="0" borderId="42" xfId="0" applyNumberFormat="1" applyBorder="1" applyAlignment="1">
      <alignment horizontal="left" wrapText="1"/>
    </xf>
    <xf numFmtId="4" fontId="0" fillId="0" borderId="34" xfId="0" applyNumberFormat="1" applyBorder="1"/>
    <xf numFmtId="4" fontId="0" fillId="0" borderId="35" xfId="0" applyNumberFormat="1" applyBorder="1"/>
    <xf numFmtId="3" fontId="0" fillId="0" borderId="34" xfId="0" applyNumberFormat="1" applyBorder="1"/>
    <xf numFmtId="49" fontId="0" fillId="0" borderId="36" xfId="0" applyNumberFormat="1" applyBorder="1" applyAlignment="1">
      <alignment horizontal="left" wrapText="1"/>
    </xf>
    <xf numFmtId="4" fontId="0" fillId="0" borderId="0" xfId="0" applyNumberFormat="1" applyBorder="1"/>
    <xf numFmtId="4" fontId="0" fillId="0" borderId="38" xfId="0" applyNumberFormat="1" applyBorder="1"/>
    <xf numFmtId="3" fontId="0" fillId="0" borderId="0" xfId="0" applyNumberFormat="1" applyBorder="1"/>
    <xf numFmtId="49" fontId="0" fillId="0" borderId="39" xfId="0" applyNumberFormat="1" applyBorder="1" applyAlignment="1">
      <alignment horizontal="left" wrapText="1"/>
    </xf>
    <xf numFmtId="49" fontId="0" fillId="0" borderId="38" xfId="0" applyNumberFormat="1" applyBorder="1" applyAlignment="1">
      <alignment horizontal="center" wrapText="1"/>
    </xf>
    <xf numFmtId="49" fontId="4" fillId="0" borderId="27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8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4" fillId="0" borderId="32" xfId="0" applyNumberFormat="1" applyFont="1" applyBorder="1" applyAlignment="1">
      <alignment horizontal="center"/>
    </xf>
    <xf numFmtId="14" fontId="0" fillId="0" borderId="45" xfId="0" applyNumberFormat="1" applyBorder="1"/>
    <xf numFmtId="14" fontId="0" fillId="0" borderId="28" xfId="0" applyNumberFormat="1" applyBorder="1"/>
    <xf numFmtId="15" fontId="0" fillId="0" borderId="28" xfId="0" applyNumberFormat="1" applyBorder="1"/>
    <xf numFmtId="14" fontId="0" fillId="0" borderId="32" xfId="0" applyNumberFormat="1" applyBorder="1"/>
    <xf numFmtId="14" fontId="0" fillId="0" borderId="46" xfId="0" applyNumberFormat="1" applyBorder="1"/>
    <xf numFmtId="14" fontId="0" fillId="0" borderId="47" xfId="0" applyNumberFormat="1" applyBorder="1"/>
    <xf numFmtId="14" fontId="7" fillId="0" borderId="47" xfId="0" applyNumberFormat="1" applyFont="1" applyBorder="1"/>
    <xf numFmtId="14" fontId="7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7"/>
  <sheetViews>
    <sheetView tabSelected="1" workbookViewId="0">
      <selection activeCell="E2" sqref="E2"/>
    </sheetView>
  </sheetViews>
  <sheetFormatPr defaultRowHeight="15"/>
  <cols>
    <col min="1" max="1" width="20.42578125" bestFit="1" customWidth="1"/>
    <col min="2" max="2" width="23.7109375" bestFit="1" customWidth="1"/>
    <col min="5" max="5" width="14.5703125" customWidth="1"/>
    <col min="7" max="7" width="9" bestFit="1" customWidth="1"/>
    <col min="9" max="9" width="12.42578125" bestFit="1" customWidth="1"/>
  </cols>
  <sheetData>
    <row r="1" spans="1:9" ht="16.5" thickTop="1">
      <c r="A1" s="115" t="s">
        <v>41</v>
      </c>
      <c r="B1" s="114" t="s">
        <v>40</v>
      </c>
      <c r="C1" s="114"/>
      <c r="D1" s="114"/>
      <c r="E1" s="113"/>
      <c r="F1" s="113"/>
      <c r="G1" s="113"/>
      <c r="H1" s="113"/>
      <c r="I1" s="112"/>
    </row>
    <row r="2" spans="1:9" ht="15.75" thickBot="1">
      <c r="A2" s="111" t="s">
        <v>39</v>
      </c>
      <c r="B2" s="109"/>
      <c r="C2" s="109"/>
      <c r="D2" s="109"/>
      <c r="E2" s="110">
        <v>40765</v>
      </c>
      <c r="F2" s="109"/>
      <c r="G2" s="109"/>
      <c r="H2" s="109"/>
      <c r="I2" s="108"/>
    </row>
    <row r="3" spans="1:9" ht="92.25" thickBot="1">
      <c r="A3" s="107" t="s">
        <v>38</v>
      </c>
      <c r="B3" s="106" t="s">
        <v>37</v>
      </c>
      <c r="C3" s="106" t="s">
        <v>36</v>
      </c>
      <c r="D3" s="106" t="s">
        <v>35</v>
      </c>
      <c r="E3" s="106" t="s">
        <v>34</v>
      </c>
      <c r="F3" s="105" t="s">
        <v>33</v>
      </c>
      <c r="G3" s="104" t="s">
        <v>32</v>
      </c>
      <c r="H3" s="103" t="s">
        <v>31</v>
      </c>
      <c r="I3" s="102" t="s">
        <v>30</v>
      </c>
    </row>
    <row r="4" spans="1:9">
      <c r="A4" s="100" t="s">
        <v>29</v>
      </c>
      <c r="B4" s="76" t="s">
        <v>22</v>
      </c>
      <c r="C4" s="101" t="s">
        <v>21</v>
      </c>
      <c r="D4" s="101" t="s">
        <v>20</v>
      </c>
      <c r="E4" s="101" t="s">
        <v>28</v>
      </c>
      <c r="F4" s="99">
        <v>168</v>
      </c>
      <c r="G4" s="98">
        <v>62.99</v>
      </c>
      <c r="H4" s="97"/>
      <c r="I4" s="72">
        <f>G4*F4</f>
        <v>10582.32</v>
      </c>
    </row>
    <row r="5" spans="1:9">
      <c r="A5" s="100" t="s">
        <v>27</v>
      </c>
      <c r="B5" s="76" t="s">
        <v>22</v>
      </c>
      <c r="C5" s="101" t="s">
        <v>21</v>
      </c>
      <c r="D5" s="101" t="s">
        <v>20</v>
      </c>
      <c r="E5" s="101" t="s">
        <v>26</v>
      </c>
      <c r="F5" s="99">
        <v>77</v>
      </c>
      <c r="G5" s="98">
        <v>75</v>
      </c>
      <c r="H5" s="97"/>
      <c r="I5" s="72">
        <f>G5*F5</f>
        <v>5775</v>
      </c>
    </row>
    <row r="6" spans="1:9">
      <c r="A6" s="100" t="s">
        <v>25</v>
      </c>
      <c r="B6" s="76" t="s">
        <v>22</v>
      </c>
      <c r="C6" s="101" t="s">
        <v>21</v>
      </c>
      <c r="D6" s="101" t="s">
        <v>20</v>
      </c>
      <c r="E6" s="101" t="s">
        <v>24</v>
      </c>
      <c r="F6" s="99">
        <v>124</v>
      </c>
      <c r="G6" s="98">
        <v>55.18</v>
      </c>
      <c r="H6" s="97"/>
      <c r="I6" s="72">
        <f>G6*F6</f>
        <v>6842.32</v>
      </c>
    </row>
    <row r="7" spans="1:9">
      <c r="A7" s="100" t="s">
        <v>23</v>
      </c>
      <c r="B7" s="76" t="s">
        <v>22</v>
      </c>
      <c r="C7" s="101" t="s">
        <v>21</v>
      </c>
      <c r="D7" s="101" t="s">
        <v>20</v>
      </c>
      <c r="E7" s="76" t="s">
        <v>19</v>
      </c>
      <c r="F7" s="99">
        <v>162</v>
      </c>
      <c r="G7" s="98">
        <v>70.37</v>
      </c>
      <c r="H7" s="97"/>
      <c r="I7" s="72">
        <f>G7*F7</f>
        <v>11399.94</v>
      </c>
    </row>
    <row r="8" spans="1:9">
      <c r="A8" s="100"/>
      <c r="B8" s="76"/>
      <c r="C8" s="76"/>
      <c r="D8" s="76"/>
      <c r="E8" s="76"/>
      <c r="F8" s="99"/>
      <c r="G8" s="98"/>
      <c r="H8" s="97"/>
      <c r="I8" s="72">
        <f>G8*F8</f>
        <v>0</v>
      </c>
    </row>
    <row r="9" spans="1:9">
      <c r="A9" s="96"/>
      <c r="B9" s="69"/>
      <c r="C9" s="69"/>
      <c r="D9" s="69"/>
      <c r="E9" s="69"/>
      <c r="F9" s="95"/>
      <c r="G9" s="94"/>
      <c r="H9" s="93"/>
      <c r="I9" s="72">
        <f>G9*F9</f>
        <v>0</v>
      </c>
    </row>
    <row r="10" spans="1:9">
      <c r="A10" s="92" t="s">
        <v>6</v>
      </c>
      <c r="B10" s="91"/>
      <c r="C10" s="91"/>
      <c r="D10" s="91"/>
      <c r="E10" s="91"/>
      <c r="F10" s="90">
        <f>SUM(F4:F9)</f>
        <v>531</v>
      </c>
      <c r="G10" s="89">
        <f>+I10/F10</f>
        <v>65.159284369114886</v>
      </c>
      <c r="H10" s="89">
        <f>SUM(H4:H9)</f>
        <v>0</v>
      </c>
      <c r="I10" s="72">
        <f>SUM(I4:I9)</f>
        <v>34599.58</v>
      </c>
    </row>
    <row r="11" spans="1:9">
      <c r="A11" s="88"/>
      <c r="B11" s="87"/>
      <c r="C11" s="87"/>
      <c r="D11" s="87"/>
      <c r="E11" s="86"/>
      <c r="F11" s="85"/>
      <c r="G11" s="84"/>
      <c r="H11" s="73"/>
      <c r="I11" s="72"/>
    </row>
    <row r="12" spans="1:9">
      <c r="A12" s="83" t="s">
        <v>18</v>
      </c>
      <c r="B12" s="82"/>
      <c r="C12" s="82"/>
      <c r="D12" s="82"/>
      <c r="E12" s="81"/>
      <c r="F12" s="80" t="s">
        <v>17</v>
      </c>
      <c r="G12" s="79" t="s">
        <v>16</v>
      </c>
      <c r="H12" s="73"/>
      <c r="I12" s="72"/>
    </row>
    <row r="13" spans="1:9">
      <c r="A13" s="78"/>
      <c r="B13" s="77"/>
      <c r="C13" s="77"/>
      <c r="D13" s="77"/>
      <c r="E13" s="76" t="s">
        <v>15</v>
      </c>
      <c r="F13" s="75"/>
      <c r="G13" s="74"/>
      <c r="H13" s="73"/>
      <c r="I13" s="72">
        <f>+F13*G13</f>
        <v>0</v>
      </c>
    </row>
    <row r="14" spans="1:9">
      <c r="A14" s="78"/>
      <c r="B14" s="77"/>
      <c r="C14" s="77"/>
      <c r="D14" s="77"/>
      <c r="E14" s="76" t="s">
        <v>14</v>
      </c>
      <c r="F14" s="75">
        <v>20</v>
      </c>
      <c r="G14" s="74">
        <v>150</v>
      </c>
      <c r="H14" s="73"/>
      <c r="I14" s="72">
        <f>+F14*G14</f>
        <v>3000</v>
      </c>
    </row>
    <row r="15" spans="1:9">
      <c r="A15" s="71"/>
      <c r="B15" s="70"/>
      <c r="C15" s="70"/>
      <c r="D15" s="70"/>
      <c r="E15" s="69" t="s">
        <v>13</v>
      </c>
      <c r="F15" s="68"/>
      <c r="G15" s="67"/>
      <c r="H15" s="66"/>
      <c r="I15" s="65">
        <f>+F15*G15</f>
        <v>0</v>
      </c>
    </row>
    <row r="16" spans="1:9" ht="15.75" thickBot="1">
      <c r="A16" s="64" t="s">
        <v>6</v>
      </c>
      <c r="B16" s="63"/>
      <c r="C16" s="63"/>
      <c r="D16" s="63"/>
      <c r="E16" s="62"/>
      <c r="F16" s="61">
        <f>SUM(F13:F15)</f>
        <v>20</v>
      </c>
      <c r="G16" s="60"/>
      <c r="H16" s="59"/>
      <c r="I16" s="58">
        <f>SUM(I13:I15)</f>
        <v>3000</v>
      </c>
    </row>
    <row r="17" spans="1:9" ht="27" thickBot="1">
      <c r="A17" s="57" t="s">
        <v>12</v>
      </c>
      <c r="B17" s="56"/>
      <c r="C17" s="56"/>
      <c r="D17" s="56"/>
      <c r="E17" s="55"/>
      <c r="F17" s="54"/>
      <c r="G17" s="53"/>
      <c r="H17" s="48"/>
      <c r="I17" s="46">
        <f>+I16+I10</f>
        <v>37599.58</v>
      </c>
    </row>
    <row r="18" spans="1:9" ht="15.75" thickBot="1">
      <c r="A18" s="52" t="s">
        <v>11</v>
      </c>
      <c r="B18" s="51"/>
      <c r="C18" s="51"/>
      <c r="D18" s="51"/>
      <c r="E18" s="50"/>
      <c r="F18" s="49"/>
      <c r="G18" s="48"/>
      <c r="H18" s="47"/>
      <c r="I18" s="46">
        <f>+I17*12</f>
        <v>451194.96</v>
      </c>
    </row>
    <row r="19" spans="1:9">
      <c r="A19" s="45" t="s">
        <v>10</v>
      </c>
      <c r="B19" s="44"/>
      <c r="C19" s="44"/>
      <c r="D19" s="44"/>
      <c r="E19" s="43" t="s">
        <v>9</v>
      </c>
      <c r="F19" s="43" t="s">
        <v>8</v>
      </c>
      <c r="G19" s="42" t="s">
        <v>7</v>
      </c>
      <c r="H19" s="41"/>
      <c r="I19" s="40"/>
    </row>
    <row r="20" spans="1:9" ht="15.75" thickBot="1">
      <c r="A20" s="39" t="s">
        <v>6</v>
      </c>
      <c r="B20" s="38"/>
      <c r="C20" s="38"/>
      <c r="D20" s="38"/>
      <c r="E20" s="37">
        <v>6768</v>
      </c>
      <c r="F20" s="37">
        <f>+E20*12</f>
        <v>81216</v>
      </c>
      <c r="G20" s="36">
        <v>10.5</v>
      </c>
      <c r="H20" s="35">
        <f>+F20/I18</f>
        <v>0.18000201066075738</v>
      </c>
      <c r="I20" s="34"/>
    </row>
    <row r="21" spans="1:9">
      <c r="A21" s="33" t="s">
        <v>5</v>
      </c>
      <c r="B21" s="32"/>
      <c r="C21" s="32"/>
      <c r="D21" s="32"/>
      <c r="E21" s="31"/>
      <c r="F21" s="30"/>
      <c r="G21" s="29"/>
      <c r="H21" s="28">
        <v>0</v>
      </c>
      <c r="I21" s="27">
        <f>+I18*-H21</f>
        <v>0</v>
      </c>
    </row>
    <row r="22" spans="1:9">
      <c r="A22" s="26" t="s">
        <v>4</v>
      </c>
      <c r="B22" s="25"/>
      <c r="C22" s="25"/>
      <c r="D22" s="25"/>
      <c r="E22" s="24"/>
      <c r="F22" s="23"/>
      <c r="G22" s="22"/>
      <c r="H22" s="21"/>
      <c r="I22" s="20">
        <f>+I23/12</f>
        <v>30831.58</v>
      </c>
    </row>
    <row r="23" spans="1:9">
      <c r="A23" s="18" t="s">
        <v>3</v>
      </c>
      <c r="B23" s="17"/>
      <c r="C23" s="17"/>
      <c r="D23" s="17"/>
      <c r="E23" s="16"/>
      <c r="F23" s="16"/>
      <c r="G23" s="19"/>
      <c r="H23" s="14"/>
      <c r="I23" s="13">
        <f>+I18-F20+I21</f>
        <v>369978.96</v>
      </c>
    </row>
    <row r="24" spans="1:9">
      <c r="A24" s="18" t="s">
        <v>2</v>
      </c>
      <c r="B24" s="17"/>
      <c r="C24" s="17"/>
      <c r="D24" s="17"/>
      <c r="E24" s="16"/>
      <c r="F24" s="16"/>
      <c r="G24" s="15"/>
      <c r="H24" s="14">
        <v>0.13</v>
      </c>
      <c r="I24" s="13">
        <f>+I23/H24</f>
        <v>2845992</v>
      </c>
    </row>
    <row r="25" spans="1:9" ht="30">
      <c r="A25" s="12" t="s">
        <v>1</v>
      </c>
      <c r="B25" s="10"/>
      <c r="C25" s="10"/>
      <c r="D25" s="10"/>
      <c r="E25" s="11"/>
      <c r="F25" s="10"/>
      <c r="G25" s="9"/>
      <c r="H25" s="8"/>
      <c r="I25" s="7">
        <f>ROUND(I24,-4)</f>
        <v>2850000</v>
      </c>
    </row>
    <row r="26" spans="1:9" ht="30.75" thickBot="1">
      <c r="A26" s="6" t="s">
        <v>0</v>
      </c>
      <c r="B26" s="4"/>
      <c r="C26" s="4"/>
      <c r="D26" s="4"/>
      <c r="E26" s="5"/>
      <c r="F26" s="4"/>
      <c r="G26" s="3"/>
      <c r="H26" s="2">
        <v>0.7</v>
      </c>
      <c r="I26" s="1">
        <f>ROUND(I24*H26,-4)</f>
        <v>1990000</v>
      </c>
    </row>
    <row r="27" spans="1:9" ht="15.75" thickTop="1"/>
  </sheetData>
  <pageMargins left="0.70866141732283472" right="0.70866141732283472" top="0.74803149606299213" bottom="0.74803149606299213" header="0.31496062992125984" footer="0.31496062992125984"/>
  <pageSetup scale="77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2011-08-24T12:04:50Z</dcterms:created>
  <dcterms:modified xsi:type="dcterms:W3CDTF">2011-08-24T12:07:13Z</dcterms:modified>
</cp:coreProperties>
</file>