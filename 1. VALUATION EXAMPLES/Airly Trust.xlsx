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10" s="1"/>
  <c r="G10" s="1"/>
  <c r="F10"/>
  <c r="I14"/>
  <c r="I15"/>
  <c r="I16"/>
  <c r="F17"/>
  <c r="I17"/>
  <c r="I18" s="1"/>
  <c r="I19" s="1"/>
  <c r="F21"/>
  <c r="G21"/>
  <c r="I22" l="1"/>
  <c r="H21"/>
  <c r="I24"/>
  <c r="I23" l="1"/>
  <c r="I25"/>
  <c r="I26" s="1"/>
</calcChain>
</file>

<file path=xl/sharedStrings.xml><?xml version="1.0" encoding="utf-8"?>
<sst xmlns="http://schemas.openxmlformats.org/spreadsheetml/2006/main" count="36" uniqueCount="33">
  <si>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</si>
  <si>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</si>
  <si>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</si>
  <si>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</si>
  <si>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</si>
  <si>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</si>
  <si>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</si>
  <si>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</si>
  <si>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</si>
  <si>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</si>
  <si>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</si>
  <si>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</si>
  <si>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</si>
  <si>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</si>
  <si>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</si>
  <si>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</si>
  <si>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</si>
  <si>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</si>
  <si>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8</t>
  </si>
  <si>
    <t>Residential</t>
  </si>
  <si>
    <t>2 bedroom flats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</si>
  <si>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</si>
  <si>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</si>
  <si>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</si>
  <si>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</si>
  <si>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</si>
  <si>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</si>
  <si>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</si>
  <si>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</si>
  <si>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</si>
  <si>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</si>
  <si>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Airly Trust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</si>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</sst>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2" fillId="0" borderId="44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5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5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6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8" fillId="0" borderId="48" xfId="0" applyNumberFormat="1" applyFont="1" applyBorder="1"/>
    <xf numFmtId="14" fontId="9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A18" sqref="A18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3" t="s">
        <v>32</v>
      </c>
      <c r="B1" s="132" t="s">
        <v>31</v>
      </c>
      <c r="C1" s="132"/>
      <c r="D1" s="132"/>
      <c r="E1" s="131"/>
      <c r="F1" s="131"/>
      <c r="G1" s="131"/>
      <c r="H1" s="131"/>
      <c r="I1" s="130"/>
      <c r="J1" s="16"/>
    </row>
    <row r="2" spans="1:13" s="1" customFormat="1" ht="20.25" customHeight="1" thickBot="1">
      <c r="A2" s="129" t="s">
        <v>30</v>
      </c>
      <c r="B2" s="127"/>
      <c r="C2" s="127"/>
      <c r="D2" s="127"/>
      <c r="E2" s="128">
        <v>40743</v>
      </c>
      <c r="F2" s="127"/>
      <c r="G2" s="127"/>
      <c r="H2" s="127"/>
      <c r="I2" s="126"/>
      <c r="J2" s="16"/>
    </row>
    <row r="3" spans="1:13" s="1" customFormat="1" ht="63.75" customHeight="1" thickBot="1">
      <c r="A3" s="125" t="s">
        <v>29</v>
      </c>
      <c r="B3" s="124" t="s">
        <v>28</v>
      </c>
      <c r="C3" s="124" t="s">
        <v>27</v>
      </c>
      <c r="D3" s="124" t="s">
        <v>26</v>
      </c>
      <c r="E3" s="124" t="s">
        <v>25</v>
      </c>
      <c r="F3" s="123" t="s">
        <v>24</v>
      </c>
      <c r="G3" s="122" t="s">
        <v>23</v>
      </c>
      <c r="H3" s="121" t="s">
        <v>22</v>
      </c>
      <c r="I3" s="120" t="s">
        <v>21</v>
      </c>
      <c r="J3" s="16"/>
    </row>
    <row r="4" spans="1:13" s="1" customFormat="1">
      <c r="A4" s="116" t="s">
        <v>20</v>
      </c>
      <c r="B4" s="119" t="s">
        <v>19</v>
      </c>
      <c r="C4" s="109" t="s">
        <v>18</v>
      </c>
      <c r="D4" s="109" t="s">
        <v>17</v>
      </c>
      <c r="E4" s="109" t="s">
        <v>17</v>
      </c>
      <c r="F4" s="118">
        <v>12</v>
      </c>
      <c r="G4" s="113">
        <v>2426</v>
      </c>
      <c r="H4" s="112"/>
      <c r="I4" s="105">
        <f>G4*F4</f>
        <v>29112</v>
      </c>
      <c r="J4" s="16"/>
      <c r="L4" s="99"/>
      <c r="M4" s="98"/>
    </row>
    <row r="5" spans="1:13" s="1" customFormat="1">
      <c r="A5" s="116"/>
      <c r="B5" s="115"/>
      <c r="C5" s="109"/>
      <c r="D5" s="109"/>
      <c r="E5" s="109"/>
      <c r="F5" s="117"/>
      <c r="G5" s="113"/>
      <c r="H5" s="112"/>
      <c r="I5" s="105"/>
      <c r="J5" s="16"/>
      <c r="L5" s="99"/>
      <c r="M5" s="98"/>
    </row>
    <row r="6" spans="1:13" s="1" customFormat="1">
      <c r="A6" s="116"/>
      <c r="B6" s="115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12</v>
      </c>
      <c r="G10" s="101">
        <f>I10/F10</f>
        <v>2426</v>
      </c>
      <c r="H10" s="100">
        <v>0</v>
      </c>
      <c r="I10" s="100">
        <f>SUM(I4:I9)</f>
        <v>29112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29112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349344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v>5900</v>
      </c>
      <c r="F21" s="50">
        <f>E21*12</f>
        <v>70800</v>
      </c>
      <c r="G21" s="49">
        <f>E21/F10</f>
        <v>491.66666666666669</v>
      </c>
      <c r="H21" s="48">
        <f>F21/I19</f>
        <v>0.20266556746358891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</v>
      </c>
      <c r="I22" s="40">
        <f>+I19*-H22</f>
        <v>0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23212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278544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0.13500000000000001</v>
      </c>
      <c r="I25" s="29">
        <f>+I24/H25</f>
        <v>2063288.8888888888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2060000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2011-08-24T11:57:49Z</dcterms:created>
  <dcterms:modified xsi:type="dcterms:W3CDTF">2011-08-24T11:58:03Z</dcterms:modified>
</cp:coreProperties>
</file>