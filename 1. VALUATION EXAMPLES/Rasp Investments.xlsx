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5" i="1"/>
  <c r="F14" i="1"/>
  <c r="G25" i="1" s="1"/>
  <c r="I14" i="1"/>
  <c r="G14" i="1" s="1"/>
  <c r="I18" i="1"/>
  <c r="F21" i="1"/>
  <c r="I21" i="1"/>
  <c r="I22" i="1"/>
  <c r="I23" i="1" s="1"/>
  <c r="F25" i="1"/>
  <c r="H25" i="1" s="1"/>
  <c r="E39" i="1"/>
  <c r="I26" i="1" l="1"/>
  <c r="I28" i="1" s="1"/>
  <c r="I29" i="1" l="1"/>
  <c r="I27" i="1"/>
  <c r="E38" i="1" s="1"/>
  <c r="E42" i="1" s="1"/>
  <c r="I31" i="1" l="1"/>
  <c r="I30" i="1"/>
  <c r="B34" i="1" l="1"/>
  <c r="E36" i="1"/>
  <c r="E35" i="1" s="1"/>
  <c r="B35" i="1" s="1"/>
  <c r="B36" i="1" l="1"/>
</calcChain>
</file>

<file path=xl/sharedStrings.xml><?xml version="1.0" encoding="utf-8"?>
<sst xmlns="http://schemas.openxmlformats.org/spreadsheetml/2006/main" count="50" uniqueCount="44">
  <si>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</si>
  <si>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</si>
  <si>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</si>
  <si>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</si>
  <si>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</si>
  <si>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</si>
  <si>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</si>
  <si>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</si>
  <si>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</si>
  <si>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</si>
  <si>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</si>
  <si>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</si>
  <si>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</si>
  <si>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</si>
  <si>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</si>
  <si>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</si>
  <si>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</si>
  <si>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</si>
  <si>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</si>
  <si>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</si>
  <si>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</si>
  <si>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</si>
  <si>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</si>
  <si>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</si>
  <si>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</si>
  <si>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</si>
  <si>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</si>
  <si>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</si>
  <si>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</si>
  <si>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</si>
  <si>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Offices</t>
  </si>
  <si>
    <t>Showroom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</si>
  <si>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</si>
  <si>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</si>
  <si>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</si>
  <si>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</si>
  <si>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</si>
  <si>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</si>
  <si>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</si>
  <si>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</si>
  <si>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</si>
  <si>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</si>
  <si>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Rasp Investments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</si>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</sst>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8" t="s">
        <v>43</v>
      </c>
      <c r="B1" s="157" t="s">
        <v>42</v>
      </c>
      <c r="C1" s="157"/>
      <c r="D1" s="157"/>
      <c r="E1" s="156"/>
      <c r="F1" s="156"/>
      <c r="G1" s="156"/>
      <c r="H1" s="156"/>
      <c r="I1" s="155"/>
      <c r="J1" s="52"/>
    </row>
    <row r="2" spans="1:10" ht="20.25" customHeight="1" thickBot="1" x14ac:dyDescent="0.3">
      <c r="A2" s="154" t="s">
        <v>41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40</v>
      </c>
      <c r="B3" s="149" t="s">
        <v>39</v>
      </c>
      <c r="C3" s="149" t="s">
        <v>38</v>
      </c>
      <c r="D3" s="149" t="s">
        <v>37</v>
      </c>
      <c r="E3" s="149" t="s">
        <v>36</v>
      </c>
      <c r="F3" s="148" t="s">
        <v>35</v>
      </c>
      <c r="G3" s="147" t="s">
        <v>34</v>
      </c>
      <c r="H3" s="146" t="s">
        <v>33</v>
      </c>
      <c r="I3" s="145" t="s">
        <v>32</v>
      </c>
      <c r="J3" s="52"/>
    </row>
    <row r="4" spans="1:10" x14ac:dyDescent="0.25">
      <c r="A4" s="144" t="s">
        <v>31</v>
      </c>
      <c r="B4" s="120"/>
      <c r="C4" s="140"/>
      <c r="D4" s="140"/>
      <c r="E4" s="140"/>
      <c r="F4" s="143">
        <v>752</v>
      </c>
      <c r="G4" s="133">
        <v>90</v>
      </c>
      <c r="H4" s="142"/>
      <c r="I4" s="113">
        <f>G4*F4</f>
        <v>67680</v>
      </c>
      <c r="J4" s="52"/>
    </row>
    <row r="5" spans="1:10" x14ac:dyDescent="0.25">
      <c r="A5" s="144" t="s">
        <v>30</v>
      </c>
      <c r="B5" s="120"/>
      <c r="C5" s="140"/>
      <c r="D5" s="140"/>
      <c r="E5" s="140"/>
      <c r="F5" s="143">
        <v>600</v>
      </c>
      <c r="G5" s="133">
        <v>100</v>
      </c>
      <c r="H5" s="142"/>
      <c r="I5" s="113">
        <f>G5*F5</f>
        <v>60000</v>
      </c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1352</v>
      </c>
      <c r="G14" s="133">
        <f>I14/F14-H14</f>
        <v>94.437869822485212</v>
      </c>
      <c r="H14" s="132">
        <v>0</v>
      </c>
      <c r="I14" s="132">
        <f>SUM(I4:I13)</f>
        <v>127680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>
        <v>55</v>
      </c>
      <c r="G18" s="115">
        <v>350</v>
      </c>
      <c r="H18" s="114"/>
      <c r="I18" s="113">
        <f>G18*F18</f>
        <v>19250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55</v>
      </c>
      <c r="G21" s="108"/>
      <c r="H21" s="107"/>
      <c r="I21" s="106">
        <f>SUM(I17:I20)</f>
        <v>19250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146930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1763160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v>22000</v>
      </c>
      <c r="F25" s="85">
        <f>E25*12</f>
        <v>264000</v>
      </c>
      <c r="G25" s="84">
        <f>E25/F14</f>
        <v>16.272189349112427</v>
      </c>
      <c r="H25" s="83">
        <f>F25/I23</f>
        <v>0.1497311645001021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0.02</v>
      </c>
      <c r="I26" s="75">
        <f>+I23*-H26</f>
        <v>-35263.200000000004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121991.40000000001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1463896.8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</v>
      </c>
      <c r="I29" s="65">
        <f>+I28/H29</f>
        <v>14638968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14640000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10250000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9.5628415300546443E-2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0.90437158469945356</v>
      </c>
      <c r="C35" s="44"/>
      <c r="D35" s="43"/>
      <c r="E35" s="42">
        <f>E36 - E34</f>
        <v>13240000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14640000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121991.40000000001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102308.03784294277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2011-08-24T11:57:53Z</dcterms:created>
  <dcterms:modified xsi:type="dcterms:W3CDTF">2011-08-24T11:58:10Z</dcterms:modified>
</cp:coreProperties>
</file>