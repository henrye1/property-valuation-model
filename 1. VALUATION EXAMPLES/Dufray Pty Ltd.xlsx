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0" yWindow="1380" windowWidth="16875" windowHeight="71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E21"/>
  <c r="F21"/>
  <c r="H21" s="1"/>
  <c r="G21"/>
  <c r="I22" l="1"/>
  <c r="I24" s="1"/>
  <c r="I25" l="1"/>
  <c r="I26" s="1"/>
  <c r="I23"/>
</calcChain>
</file>

<file path=xl/sharedStrings.xml><?xml version="1.0" encoding="utf-8"?>
<sst xmlns="http://schemas.openxmlformats.org/spreadsheetml/2006/main" count="37" uniqueCount="33">
  <si>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</si>
  <si>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</si>
  <si>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</si>
  <si>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</si>
  <si>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</si>
  <si>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</si>
  <si>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</si>
  <si>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</si>
  <si>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</si>
  <si>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</si>
  <si>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</si>
  <si>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</si>
  <si>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</si>
  <si>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structured</t>
  </si>
  <si>
    <t>Open</t>
  </si>
  <si>
    <t>R/bay</t>
  </si>
  <si>
    <t>No. bays</t>
  </si>
  <si>
    <t>Parking</t>
  </si>
  <si>
    <t>N/A</t>
  </si>
  <si>
    <t>Mini units</t>
  </si>
  <si>
    <t>Units 20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</si>
  <si>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</si>
  <si>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</si>
  <si>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</si>
  <si>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</si>
  <si>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</si>
  <si>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</si>
  <si>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</si>
  <si>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</si>
  <si>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</si>
  <si>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</si>
  <si>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Dufray Pty Ltd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</si>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</sst>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32</v>
      </c>
      <c r="B1" s="125" t="s">
        <v>31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30</v>
      </c>
      <c r="B2" s="120"/>
      <c r="C2" s="120"/>
      <c r="D2" s="120"/>
      <c r="E2" s="121">
        <v>40744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29</v>
      </c>
      <c r="B3" s="117" t="s">
        <v>28</v>
      </c>
      <c r="C3" s="117" t="s">
        <v>27</v>
      </c>
      <c r="D3" s="117" t="s">
        <v>26</v>
      </c>
      <c r="E3" s="117" t="s">
        <v>25</v>
      </c>
      <c r="F3" s="116" t="s">
        <v>24</v>
      </c>
      <c r="G3" s="115" t="s">
        <v>23</v>
      </c>
      <c r="H3" s="114" t="s">
        <v>22</v>
      </c>
      <c r="I3" s="113" t="s">
        <v>21</v>
      </c>
      <c r="J3" s="10"/>
    </row>
    <row r="4" spans="1:13" s="1" customFormat="1">
      <c r="A4" s="110" t="s">
        <v>20</v>
      </c>
      <c r="B4" s="110" t="s">
        <v>19</v>
      </c>
      <c r="C4" s="103" t="s">
        <v>18</v>
      </c>
      <c r="D4" s="103" t="s">
        <v>18</v>
      </c>
      <c r="E4" s="103" t="s">
        <v>18</v>
      </c>
      <c r="F4" s="112">
        <v>5230</v>
      </c>
      <c r="G4" s="107">
        <v>43</v>
      </c>
      <c r="H4" s="106"/>
      <c r="I4" s="99">
        <f>G4*F4</f>
        <v>224890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5230</v>
      </c>
      <c r="G10" s="95">
        <f>I10/F10</f>
        <v>43</v>
      </c>
      <c r="H10" s="94">
        <v>0</v>
      </c>
      <c r="I10" s="94">
        <f>SUM(I4:I9)</f>
        <v>224890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>
        <v>64</v>
      </c>
      <c r="G14" s="74">
        <v>150</v>
      </c>
      <c r="H14" s="73"/>
      <c r="I14" s="72">
        <f>G14*F14</f>
        <v>9600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40</v>
      </c>
      <c r="G15" s="74">
        <v>200</v>
      </c>
      <c r="H15" s="73"/>
      <c r="I15" s="72">
        <f>G15*F15</f>
        <v>8000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104</v>
      </c>
      <c r="G17" s="67"/>
      <c r="H17" s="66"/>
      <c r="I17" s="65">
        <f>SUM(I13:I16)</f>
        <v>17600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242490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2909880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489579/12</f>
        <v>40798.25</v>
      </c>
      <c r="F21" s="44">
        <f>E21*12</f>
        <v>489579</v>
      </c>
      <c r="G21" s="43">
        <f>E21/F10</f>
        <v>7.8008126195028682</v>
      </c>
      <c r="H21" s="42">
        <f>F21/I19</f>
        <v>0.16824714421213247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0.03</v>
      </c>
      <c r="I22" s="34">
        <f>+I19*-H22</f>
        <v>-87296.4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194417.05000000002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2333004.6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0.12</v>
      </c>
      <c r="I25" s="23">
        <f>+I24/H25</f>
        <v>19441705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19440000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2011-08-24T12:13:38Z</dcterms:created>
  <dcterms:modified xsi:type="dcterms:W3CDTF">2011-08-24T12:16:14Z</dcterms:modified>
</cp:coreProperties>
</file>