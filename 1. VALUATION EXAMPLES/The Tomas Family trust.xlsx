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800" yWindow="1635" windowWidth="16635" windowHeight="691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I14" s="1"/>
  <c r="G14" s="1"/>
  <c r="F14"/>
  <c r="I18"/>
  <c r="I21" s="1"/>
  <c r="I22" s="1"/>
  <c r="I23" s="1"/>
  <c r="F21"/>
  <c r="E25"/>
  <c r="G25" s="1"/>
  <c r="I26" l="1"/>
  <c r="F25"/>
  <c r="H25" s="1"/>
  <c r="I28" l="1"/>
  <c r="I27" l="1"/>
  <c r="I29"/>
  <c r="I30" s="1"/>
  <c r="I31" s="1"/>
</calcChain>
</file>

<file path=xl/sharedStrings.xml><?xml version="1.0" encoding="utf-8"?>
<sst xmlns="http://schemas.openxmlformats.org/spreadsheetml/2006/main" count="37" uniqueCount="31">
  <si>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</si>
  <si>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</si>
  <si>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</si>
  <si>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</si>
  <si>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</si>
  <si>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</si>
  <si>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</si>
  <si>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</si>
  <si>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</si>
  <si>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</si>
  <si>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</si>
  <si>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</si>
  <si>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</si>
  <si>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</si>
  <si>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</si>
  <si>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</si>
  <si>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</si>
  <si>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</si>
  <si>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</si>
  <si>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</si>
  <si>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</si>
  <si>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</si>
  <si>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</si>
  <si>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</si>
  <si>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</si>
  <si>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</si>
  <si>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</si>
  <si>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</si>
  <si>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</si>
  <si>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</si>
  <si>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The Tomas Family trust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</si>
</sst>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12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286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28</v>
      </c>
      <c r="B1" s="129" t="s">
        <v>30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>
      <c r="A2" s="125" t="s">
        <v>29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28</v>
      </c>
      <c r="B3" s="120" t="s">
        <v>27</v>
      </c>
      <c r="C3" s="120" t="s">
        <v>26</v>
      </c>
      <c r="D3" s="120" t="s">
        <v>25</v>
      </c>
      <c r="E3" s="120" t="s">
        <v>24</v>
      </c>
      <c r="F3" s="119" t="s">
        <v>23</v>
      </c>
      <c r="G3" s="118" t="s">
        <v>22</v>
      </c>
      <c r="H3" s="117" t="s">
        <v>21</v>
      </c>
      <c r="I3" s="116" t="s">
        <v>20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>
      <c r="A5" s="110" t="s">
        <v>19</v>
      </c>
      <c r="B5" s="110" t="s">
        <v>19</v>
      </c>
      <c r="C5" s="102" t="s">
        <v>18</v>
      </c>
      <c r="D5" s="102" t="s">
        <v>18</v>
      </c>
      <c r="E5" s="109" t="s">
        <v>18</v>
      </c>
      <c r="F5" s="108">
        <v>1050</v>
      </c>
      <c r="G5" s="107">
        <v>75</v>
      </c>
      <c r="H5" s="106"/>
      <c r="I5" s="98">
        <f>G5*F5</f>
        <v>78750</v>
      </c>
      <c r="J5" s="105"/>
      <c r="K5" s="1"/>
      <c r="L5" s="1"/>
      <c r="M5" s="1"/>
      <c r="N5" s="1"/>
      <c r="O5" s="1"/>
    </row>
    <row r="6" spans="1:15" customFormat="1" ht="18" customHeight="1">
      <c r="A6" s="110"/>
      <c r="B6" s="110"/>
      <c r="C6" s="102"/>
      <c r="D6" s="102"/>
      <c r="E6" s="109"/>
      <c r="F6" s="108"/>
      <c r="G6" s="107"/>
      <c r="H6" s="106"/>
      <c r="I6" s="98"/>
      <c r="J6" s="105"/>
      <c r="K6" s="1"/>
      <c r="L6" s="1"/>
      <c r="M6" s="1"/>
      <c r="N6" s="1"/>
      <c r="O6" s="1"/>
    </row>
    <row r="7" spans="1:15" customFormat="1" ht="18" customHeight="1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8" customHeight="1">
      <c r="A10" s="110"/>
      <c r="B10" s="110"/>
      <c r="C10" s="102"/>
      <c r="D10" s="102"/>
      <c r="E10" s="109"/>
      <c r="F10" s="108"/>
      <c r="G10" s="107"/>
      <c r="H10" s="106"/>
      <c r="I10" s="98"/>
      <c r="J10" s="105"/>
      <c r="K10" s="1"/>
      <c r="L10" s="1"/>
      <c r="M10" s="1"/>
      <c r="N10" s="1"/>
      <c r="O10" s="1"/>
    </row>
    <row r="11" spans="1:15" customFormat="1" ht="18" customHeight="1">
      <c r="A11" s="110"/>
      <c r="B11" s="110"/>
      <c r="C11" s="102"/>
      <c r="D11" s="102"/>
      <c r="E11" s="109"/>
      <c r="F11" s="108"/>
      <c r="G11" s="107"/>
      <c r="H11" s="106"/>
      <c r="I11" s="98"/>
      <c r="J11" s="105"/>
      <c r="K11" s="1"/>
      <c r="L11" s="1"/>
      <c r="M11" s="1"/>
      <c r="N11" s="1"/>
      <c r="O11" s="1"/>
    </row>
    <row r="12" spans="1:15" customFormat="1" ht="18" customHeight="1">
      <c r="A12" s="110"/>
      <c r="B12" s="110"/>
      <c r="C12" s="102"/>
      <c r="D12" s="102"/>
      <c r="E12" s="109"/>
      <c r="F12" s="108"/>
      <c r="G12" s="107"/>
      <c r="H12" s="106"/>
      <c r="I12" s="98"/>
      <c r="J12" s="105"/>
      <c r="K12" s="1"/>
      <c r="L12" s="1"/>
      <c r="M12" s="1"/>
      <c r="N12" s="1"/>
      <c r="O12" s="1"/>
    </row>
    <row r="13" spans="1:15" customFormat="1" ht="15.75" thickBot="1">
      <c r="A13" s="104"/>
      <c r="B13" s="103"/>
      <c r="C13" s="82"/>
      <c r="D13" s="102"/>
      <c r="E13" s="102"/>
      <c r="F13" s="101"/>
      <c r="G13" s="100"/>
      <c r="H13" s="99"/>
      <c r="I13" s="98"/>
      <c r="J13" s="14"/>
      <c r="K13" s="1"/>
      <c r="L13" s="91"/>
      <c r="M13" s="90"/>
      <c r="N13" s="1"/>
      <c r="O13" s="1"/>
    </row>
    <row r="14" spans="1:15" customFormat="1">
      <c r="A14" s="97" t="s">
        <v>6</v>
      </c>
      <c r="B14" s="74"/>
      <c r="C14" s="96"/>
      <c r="D14" s="96"/>
      <c r="E14" s="96"/>
      <c r="F14" s="95">
        <f>SUM(F5:F13)</f>
        <v>1050</v>
      </c>
      <c r="G14" s="94">
        <f>I14/F14</f>
        <v>75</v>
      </c>
      <c r="H14" s="93">
        <v>0</v>
      </c>
      <c r="I14" s="92">
        <f>SUM(I5:I12)</f>
        <v>78750</v>
      </c>
      <c r="J14" s="14"/>
      <c r="K14" s="1"/>
      <c r="L14" s="91"/>
      <c r="M14" s="90"/>
      <c r="N14" s="1"/>
      <c r="O14" s="1"/>
    </row>
    <row r="15" spans="1:15" customFormat="1">
      <c r="A15" s="89"/>
      <c r="B15" s="88"/>
      <c r="C15" s="88"/>
      <c r="D15" s="88"/>
      <c r="E15" s="87"/>
      <c r="F15" s="86"/>
      <c r="G15" s="85"/>
      <c r="H15" s="71"/>
      <c r="I15" s="70"/>
      <c r="J15" s="14"/>
      <c r="K15" s="1"/>
      <c r="L15" s="1"/>
      <c r="M15" s="1"/>
      <c r="N15" s="1"/>
      <c r="O15" s="1"/>
    </row>
    <row r="16" spans="1:15" customFormat="1">
      <c r="A16" s="84" t="s">
        <v>17</v>
      </c>
      <c r="B16" s="83"/>
      <c r="C16" s="83"/>
      <c r="D16" s="83"/>
      <c r="E16" s="82"/>
      <c r="F16" s="81" t="s">
        <v>16</v>
      </c>
      <c r="G16" s="80" t="s">
        <v>15</v>
      </c>
      <c r="H16" s="71"/>
      <c r="I16" s="70"/>
      <c r="J16" s="14"/>
      <c r="K16" s="1"/>
      <c r="L16" s="1"/>
      <c r="M16" s="1"/>
      <c r="N16" s="1"/>
      <c r="O16" s="1"/>
    </row>
    <row r="17" spans="1:15" customFormat="1">
      <c r="A17" s="79"/>
      <c r="B17" s="78"/>
      <c r="C17" s="78"/>
      <c r="D17" s="78"/>
      <c r="E17" s="77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>
      <c r="A18" s="79"/>
      <c r="B18" s="78"/>
      <c r="C18" s="78"/>
      <c r="D18" s="78"/>
      <c r="E18" s="77" t="s">
        <v>14</v>
      </c>
      <c r="F18" s="73">
        <v>20</v>
      </c>
      <c r="G18" s="72">
        <v>170</v>
      </c>
      <c r="H18" s="71"/>
      <c r="I18" s="70">
        <f>G18*F18</f>
        <v>3400</v>
      </c>
      <c r="J18" s="14"/>
      <c r="K18" s="1"/>
      <c r="L18" s="1"/>
      <c r="M18" s="1"/>
      <c r="N18" s="1"/>
      <c r="O18" s="1"/>
    </row>
    <row r="19" spans="1:15" customFormat="1">
      <c r="A19" s="79"/>
      <c r="B19" s="78"/>
      <c r="C19" s="78"/>
      <c r="D19" s="78"/>
      <c r="E19" s="77" t="s">
        <v>13</v>
      </c>
      <c r="F19" s="73">
        <v>24</v>
      </c>
      <c r="G19" s="72">
        <v>300</v>
      </c>
      <c r="H19" s="71"/>
      <c r="I19" s="70"/>
      <c r="J19" s="14"/>
      <c r="K19" s="1"/>
      <c r="L19" s="1"/>
      <c r="M19" s="1"/>
      <c r="N19" s="1"/>
      <c r="O19" s="1"/>
    </row>
    <row r="20" spans="1:15" customFormat="1">
      <c r="A20" s="76"/>
      <c r="B20" s="75"/>
      <c r="C20" s="75"/>
      <c r="D20" s="75"/>
      <c r="E20" s="74"/>
      <c r="F20" s="73"/>
      <c r="G20" s="72"/>
      <c r="H20" s="71"/>
      <c r="I20" s="70"/>
      <c r="J20" s="14"/>
      <c r="K20" s="1"/>
      <c r="L20" s="1"/>
      <c r="M20" s="1"/>
      <c r="N20" s="1"/>
      <c r="O20" s="1"/>
    </row>
    <row r="21" spans="1:15" customFormat="1" ht="15.75" thickBot="1">
      <c r="A21" s="69" t="s">
        <v>6</v>
      </c>
      <c r="B21" s="68"/>
      <c r="C21" s="68"/>
      <c r="D21" s="68"/>
      <c r="E21" s="67"/>
      <c r="F21" s="66">
        <f>SUM(F17:F20)</f>
        <v>44</v>
      </c>
      <c r="G21" s="65">
        <v>0</v>
      </c>
      <c r="H21" s="64"/>
      <c r="I21" s="63">
        <f>SUM(I17:I20)</f>
        <v>3400</v>
      </c>
      <c r="J21" s="14"/>
      <c r="K21" s="1"/>
      <c r="L21" s="1"/>
      <c r="M21" s="1"/>
      <c r="N21" s="1"/>
      <c r="O21" s="1"/>
    </row>
    <row r="22" spans="1:15" customFormat="1" ht="18.75" customHeight="1" thickBot="1">
      <c r="A22" s="62" t="s">
        <v>12</v>
      </c>
      <c r="B22" s="61"/>
      <c r="C22" s="61"/>
      <c r="D22" s="61"/>
      <c r="E22" s="60"/>
      <c r="F22" s="59"/>
      <c r="G22" s="58"/>
      <c r="H22" s="53"/>
      <c r="I22" s="51">
        <f>+I21+I14</f>
        <v>82150</v>
      </c>
      <c r="J22" s="14"/>
      <c r="K22" s="1"/>
      <c r="L22" s="24"/>
      <c r="M22" s="1"/>
      <c r="N22" s="1"/>
      <c r="O22" s="1"/>
    </row>
    <row r="23" spans="1:15" customFormat="1" ht="18.75" customHeight="1" thickBot="1">
      <c r="A23" s="57" t="s">
        <v>11</v>
      </c>
      <c r="B23" s="56"/>
      <c r="C23" s="56"/>
      <c r="D23" s="56"/>
      <c r="E23" s="55"/>
      <c r="F23" s="54"/>
      <c r="G23" s="53"/>
      <c r="H23" s="52"/>
      <c r="I23" s="51">
        <f>+I22*12</f>
        <v>985800</v>
      </c>
      <c r="J23" s="14"/>
      <c r="K23" s="1"/>
      <c r="L23" s="1"/>
      <c r="M23" s="1"/>
      <c r="N23" s="1"/>
      <c r="O23" s="1"/>
    </row>
    <row r="24" spans="1:15" customFormat="1" ht="18.75" customHeight="1">
      <c r="A24" s="50" t="s">
        <v>10</v>
      </c>
      <c r="B24" s="49"/>
      <c r="C24" s="49"/>
      <c r="D24" s="49"/>
      <c r="E24" s="48" t="s">
        <v>9</v>
      </c>
      <c r="F24" s="48" t="s">
        <v>8</v>
      </c>
      <c r="G24" s="47" t="s">
        <v>7</v>
      </c>
      <c r="H24" s="46"/>
      <c r="I24" s="45"/>
      <c r="J24" s="14"/>
      <c r="K24" s="1"/>
      <c r="L24" s="1"/>
      <c r="M24" s="1"/>
      <c r="N24" s="1"/>
      <c r="O24" s="1"/>
    </row>
    <row r="25" spans="1:15" customFormat="1" ht="15.75" thickBot="1">
      <c r="A25" s="44" t="s">
        <v>6</v>
      </c>
      <c r="B25" s="43"/>
      <c r="C25" s="43"/>
      <c r="D25" s="43"/>
      <c r="E25" s="42">
        <f>143000/12</f>
        <v>11916.666666666666</v>
      </c>
      <c r="F25" s="42">
        <f>E25*12</f>
        <v>143000</v>
      </c>
      <c r="G25" s="41">
        <f>E25/F14</f>
        <v>11.349206349206348</v>
      </c>
      <c r="H25" s="40">
        <f>F25/I23</f>
        <v>0.14505984986812742</v>
      </c>
      <c r="I25" s="39"/>
      <c r="J25" s="14"/>
      <c r="K25" s="1"/>
      <c r="L25" s="24"/>
      <c r="M25" s="1"/>
      <c r="N25" s="1"/>
      <c r="O25" s="24"/>
    </row>
    <row r="26" spans="1:15" customFormat="1" ht="18.75" customHeight="1">
      <c r="A26" s="38" t="s">
        <v>5</v>
      </c>
      <c r="B26" s="37"/>
      <c r="C26" s="37"/>
      <c r="D26" s="37"/>
      <c r="E26" s="36"/>
      <c r="F26" s="35"/>
      <c r="G26" s="34"/>
      <c r="H26" s="33">
        <v>0.03</v>
      </c>
      <c r="I26" s="32">
        <f>+I23*-H26</f>
        <v>-29574</v>
      </c>
      <c r="J26" s="14"/>
      <c r="K26" s="1"/>
      <c r="L26" s="1"/>
      <c r="M26" s="1"/>
      <c r="N26" s="1"/>
      <c r="O26" s="24"/>
    </row>
    <row r="27" spans="1:15" customFormat="1" ht="18.75" customHeight="1">
      <c r="A27" s="31" t="s">
        <v>4</v>
      </c>
      <c r="B27" s="30"/>
      <c r="C27" s="30"/>
      <c r="D27" s="30"/>
      <c r="E27" s="29"/>
      <c r="F27" s="28"/>
      <c r="G27" s="27"/>
      <c r="H27" s="26"/>
      <c r="I27" s="25">
        <f>+I28/12</f>
        <v>67768.833333333328</v>
      </c>
      <c r="J27" s="14"/>
      <c r="K27" s="1"/>
      <c r="L27" s="1"/>
      <c r="M27" s="1"/>
      <c r="N27" s="1"/>
      <c r="O27" s="24"/>
    </row>
    <row r="28" spans="1:15" customFormat="1" ht="18.75" customHeight="1">
      <c r="A28" s="20" t="s">
        <v>3</v>
      </c>
      <c r="B28" s="18"/>
      <c r="C28" s="18"/>
      <c r="D28" s="18"/>
      <c r="E28" s="19"/>
      <c r="F28" s="19"/>
      <c r="G28" s="23"/>
      <c r="H28" s="16"/>
      <c r="I28" s="21">
        <f>+I23-F25+I26</f>
        <v>813226</v>
      </c>
      <c r="J28" s="14"/>
      <c r="K28" s="1"/>
      <c r="L28" s="1"/>
      <c r="M28" s="1"/>
      <c r="N28" s="1"/>
      <c r="O28" s="1"/>
    </row>
    <row r="29" spans="1:15" customFormat="1" ht="18.75" customHeight="1">
      <c r="A29" s="20" t="s">
        <v>2</v>
      </c>
      <c r="B29" s="18"/>
      <c r="C29" s="18"/>
      <c r="D29" s="18"/>
      <c r="E29" s="19"/>
      <c r="F29" s="19"/>
      <c r="G29" s="22"/>
      <c r="H29" s="16">
        <v>0.115</v>
      </c>
      <c r="I29" s="21">
        <f>+I28/H29</f>
        <v>7071530.4347826084</v>
      </c>
      <c r="J29" s="14"/>
      <c r="K29" s="1"/>
      <c r="L29" s="1"/>
      <c r="M29" s="1"/>
      <c r="N29" s="1"/>
      <c r="O29" s="1"/>
    </row>
    <row r="30" spans="1:15" customFormat="1" ht="18.75" customHeight="1">
      <c r="A30" s="20" t="s">
        <v>1</v>
      </c>
      <c r="B30" s="18"/>
      <c r="C30" s="18"/>
      <c r="D30" s="18"/>
      <c r="E30" s="19"/>
      <c r="F30" s="18"/>
      <c r="G30" s="17"/>
      <c r="H30" s="16"/>
      <c r="I30" s="15">
        <f>ROUND(I29,-4)</f>
        <v>7070000</v>
      </c>
      <c r="J30" s="14"/>
      <c r="K30" s="1"/>
      <c r="L30" s="1"/>
      <c r="M30" s="1"/>
      <c r="N30" s="1"/>
      <c r="O30" s="1"/>
    </row>
    <row r="31" spans="1:15" customFormat="1" ht="16.5" thickBot="1">
      <c r="A31" s="13" t="s">
        <v>0</v>
      </c>
      <c r="B31" s="12"/>
      <c r="C31" s="12"/>
      <c r="D31" s="12"/>
      <c r="E31" s="11"/>
      <c r="F31" s="10"/>
      <c r="G31" s="9"/>
      <c r="H31" s="9"/>
      <c r="I31" s="8">
        <f>I30</f>
        <v>7070000</v>
      </c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customFormat="1">
      <c r="A93" s="2"/>
      <c r="B93" s="1"/>
      <c r="C93" s="1"/>
      <c r="D93" s="1"/>
      <c r="E93" s="1"/>
      <c r="F93" s="3"/>
      <c r="G93" s="4"/>
      <c r="H93" s="4"/>
      <c r="I93" s="1"/>
      <c r="J93" s="1"/>
      <c r="K93" s="1"/>
      <c r="L93" s="1"/>
      <c r="M93" s="1"/>
      <c r="N93" s="1"/>
      <c r="O93" s="1"/>
    </row>
    <row r="94" spans="1:15" customFormat="1">
      <c r="A94" s="2"/>
      <c r="B94" s="1"/>
      <c r="C94" s="1"/>
      <c r="D94" s="1"/>
      <c r="E94" s="1"/>
      <c r="F94" s="3"/>
      <c r="G94" s="4"/>
      <c r="H94" s="4"/>
      <c r="I94" s="1"/>
      <c r="J94" s="1"/>
      <c r="K94" s="1"/>
      <c r="L94" s="1"/>
      <c r="M94" s="1"/>
      <c r="N94" s="1"/>
      <c r="O94" s="1"/>
    </row>
    <row r="95" spans="1:15" customFormat="1">
      <c r="A95" s="2"/>
      <c r="B95" s="1"/>
      <c r="C95" s="1"/>
      <c r="D95" s="1"/>
      <c r="E95" s="1"/>
      <c r="F95" s="3"/>
      <c r="G95" s="4"/>
      <c r="H95" s="4"/>
      <c r="I95" s="1"/>
      <c r="J95" s="1"/>
      <c r="K95" s="1"/>
      <c r="L95" s="1"/>
      <c r="M95" s="1"/>
      <c r="N95" s="1"/>
      <c r="O95" s="1"/>
    </row>
    <row r="96" spans="1:15" s="1" customFormat="1">
      <c r="A96" s="2"/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2011-08-24T12:05:25Z</dcterms:created>
  <dcterms:modified xsi:type="dcterms:W3CDTF">2011-08-24T12:10:55Z</dcterms:modified>
</cp:coreProperties>
</file>