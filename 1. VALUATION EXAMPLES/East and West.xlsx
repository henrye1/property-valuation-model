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615" windowWidth="17595" windowHeight="79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G10" s="1"/>
  <c r="F10"/>
  <c r="F17"/>
  <c r="I17"/>
  <c r="E21"/>
  <c r="G21" s="1"/>
  <c r="I18" l="1"/>
  <c r="I19" s="1"/>
  <c r="F21"/>
  <c r="H21" s="1"/>
  <c r="I22" l="1"/>
  <c r="I24" s="1"/>
  <c r="I25" l="1"/>
  <c r="I26" s="1"/>
  <c r="I23"/>
</calcChain>
</file>

<file path=xl/sharedStrings.xml><?xml version="1.0" encoding="utf-8"?>
<sst xmlns="http://schemas.openxmlformats.org/spreadsheetml/2006/main" count="38" uniqueCount="36">
  <si>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</si>
  <si>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</si>
  <si>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</si>
  <si>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</si>
  <si>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</si>
  <si>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</si>
  <si>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</si>
  <si>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</si>
  <si>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</si>
  <si>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</si>
  <si>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</si>
  <si>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</si>
  <si>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</si>
  <si>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</si>
  <si>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</si>
  <si>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</si>
  <si>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</si>
  <si>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</si>
  <si>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</si>
  <si>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Sept 2012</t>
  </si>
  <si>
    <t>10 years</t>
  </si>
  <si>
    <t>N/A</t>
  </si>
  <si>
    <t>Retail shop</t>
  </si>
  <si>
    <t>n/a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</si>
  <si>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</si>
  <si>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</si>
  <si>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</si>
  <si>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</si>
  <si>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</si>
  <si>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</si>
  <si>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</si>
  <si>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</si>
  <si>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</si>
  <si>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</si>
  <si>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East and West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</si>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</sst>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C8" sqref="C8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35</v>
      </c>
      <c r="B1" s="125" t="s">
        <v>34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33</v>
      </c>
      <c r="B2" s="120"/>
      <c r="C2" s="120"/>
      <c r="D2" s="120"/>
      <c r="E2" s="121">
        <v>40744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32</v>
      </c>
      <c r="B3" s="117" t="s">
        <v>31</v>
      </c>
      <c r="C3" s="117" t="s">
        <v>30</v>
      </c>
      <c r="D3" s="117" t="s">
        <v>29</v>
      </c>
      <c r="E3" s="117" t="s">
        <v>28</v>
      </c>
      <c r="F3" s="116" t="s">
        <v>27</v>
      </c>
      <c r="G3" s="115" t="s">
        <v>26</v>
      </c>
      <c r="H3" s="114" t="s">
        <v>25</v>
      </c>
      <c r="I3" s="113" t="s">
        <v>24</v>
      </c>
      <c r="J3" s="10"/>
    </row>
    <row r="4" spans="1:13" s="1" customFormat="1">
      <c r="A4" s="110" t="s">
        <v>23</v>
      </c>
      <c r="B4" s="110" t="s">
        <v>22</v>
      </c>
      <c r="C4" s="103" t="s">
        <v>21</v>
      </c>
      <c r="D4" s="103" t="s">
        <v>20</v>
      </c>
      <c r="E4" s="103" t="s">
        <v>19</v>
      </c>
      <c r="F4" s="112">
        <v>469</v>
      </c>
      <c r="G4" s="107">
        <v>88.28</v>
      </c>
      <c r="H4" s="106"/>
      <c r="I4" s="99">
        <f>G4*F4</f>
        <v>41403.32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469</v>
      </c>
      <c r="G10" s="95">
        <f>I10/F10</f>
        <v>88.28</v>
      </c>
      <c r="H10" s="94">
        <v>0</v>
      </c>
      <c r="I10" s="94">
        <f>SUM(I4:I9)</f>
        <v>41403.32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18</v>
      </c>
      <c r="B12" s="85"/>
      <c r="C12" s="85"/>
      <c r="D12" s="85"/>
      <c r="E12" s="84"/>
      <c r="F12" s="83" t="s">
        <v>17</v>
      </c>
      <c r="G12" s="82" t="s">
        <v>16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15</v>
      </c>
      <c r="F14" s="75"/>
      <c r="G14" s="74"/>
      <c r="H14" s="73"/>
      <c r="I14" s="72"/>
      <c r="J14" s="10"/>
    </row>
    <row r="15" spans="1:13" s="1" customFormat="1">
      <c r="A15" s="81"/>
      <c r="B15" s="80"/>
      <c r="C15" s="80"/>
      <c r="D15" s="80"/>
      <c r="E15" s="79" t="s">
        <v>14</v>
      </c>
      <c r="F15" s="75"/>
      <c r="G15" s="74"/>
      <c r="H15" s="73"/>
      <c r="I15" s="72"/>
      <c r="J15" s="10"/>
    </row>
    <row r="16" spans="1:13" s="1" customFormat="1">
      <c r="A16" s="78"/>
      <c r="B16" s="77"/>
      <c r="C16" s="77"/>
      <c r="D16" s="77"/>
      <c r="E16" s="76" t="s">
        <v>13</v>
      </c>
      <c r="F16" s="75"/>
      <c r="G16" s="74"/>
      <c r="H16" s="73"/>
      <c r="I16" s="72"/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41403.32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496839.83999999997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50639/12</f>
        <v>4219.916666666667</v>
      </c>
      <c r="F21" s="44">
        <f>E21*12</f>
        <v>50639</v>
      </c>
      <c r="G21" s="43">
        <f>E21/F10</f>
        <v>8.9976901208244495</v>
      </c>
      <c r="H21" s="42">
        <f>F21/I19</f>
        <v>0.10192218079773957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/>
      <c r="I22" s="34">
        <f>+I19*-H22</f>
        <v>0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37183.403333333328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446200.83999999997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0.13</v>
      </c>
      <c r="I25" s="23">
        <f>+I24/H25</f>
        <v>3432314.1538461535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3430000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2011-08-24T12:13:19Z</dcterms:created>
  <dcterms:modified xsi:type="dcterms:W3CDTF">2011-08-24T12:15:13Z</dcterms:modified>
</cp:coreProperties>
</file>