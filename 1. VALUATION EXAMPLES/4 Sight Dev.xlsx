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I10" i="1" s="1"/>
  <c r="G10" i="1" s="1"/>
  <c r="F10" i="1"/>
  <c r="I14" i="1"/>
  <c r="I15" i="1"/>
  <c r="I16" i="1"/>
  <c r="F17" i="1"/>
  <c r="I17" i="1"/>
  <c r="E21" i="1"/>
  <c r="G21" i="1" s="1"/>
  <c r="F21" i="1"/>
  <c r="H21" i="1" l="1"/>
  <c r="I18" i="1"/>
  <c r="I19" i="1" s="1"/>
  <c r="I22" i="1" l="1"/>
  <c r="I24" i="1" s="1"/>
  <c r="I23" i="1" l="1"/>
  <c r="I25" i="1"/>
  <c r="I26" i="1" s="1"/>
</calcChain>
</file>

<file path=xl/sharedStrings.xml><?xml version="1.0" encoding="utf-8"?>
<sst xmlns="http://schemas.openxmlformats.org/spreadsheetml/2006/main" count="39" uniqueCount="37">
  <si>
    <t>CONTRIER</t>
  </si>
  <si>
    <t>Open market assessment</t>
  </si>
  <si>
    <t>Capitalised @</t>
  </si>
  <si>
    <t>Annual net income</t>
  </si>
  <si>
    <t>Monthly net income</t>
  </si>
  <si>
    <t>\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</si>
  <si>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</si>
  <si>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</si>
  <si>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</si>
  <si>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</si>
  <si>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</si>
  <si>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</si>
  <si>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</si>
  <si>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</si>
  <si>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</si>
  <si>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</si>
  <si>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</si>
  <si>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</si>
  <si>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</si>
  <si>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</si>
  <si>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31/3/2011</t>
  </si>
  <si>
    <t>3 years</t>
  </si>
  <si>
    <t>N/A</t>
  </si>
  <si>
    <t>Offices</t>
  </si>
  <si>
    <t>Unit 7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</si>
  <si>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</si>
  <si>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</si>
  <si>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</si>
  <si>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</si>
  <si>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</si>
  <si>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</si>
  <si>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</si>
  <si>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</si>
  <si>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</si>
  <si>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</si>
  <si>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4 Sight Dev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</si>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</sst>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4</xdr:row>
      <xdr:rowOff>38101</xdr:rowOff>
    </xdr:from>
    <xdr:ext cx="5133975" cy="914400"/>
    <xdr:sp macro="" textlink="">
      <xdr:nvSpPr>
        <xdr:cNvPr id="2" name="Rectangle 1"/>
        <xdr:cNvSpPr/>
      </xdr:nvSpPr>
      <xdr:spPr>
        <a:xfrm>
          <a:off x="171450" y="80010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5</xdr:row>
      <xdr:rowOff>0</xdr:rowOff>
    </xdr:from>
    <xdr:ext cx="7537346" cy="352424"/>
    <xdr:sp macro="" textlink="">
      <xdr:nvSpPr>
        <xdr:cNvPr id="3" name="Rectangle 2"/>
        <xdr:cNvSpPr/>
      </xdr:nvSpPr>
      <xdr:spPr>
        <a:xfrm>
          <a:off x="609600" y="952500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thickTop="1" x14ac:dyDescent="0.25">
      <c r="A1" s="126" t="s">
        <v>36</v>
      </c>
      <c r="B1" s="125" t="s">
        <v>35</v>
      </c>
      <c r="C1" s="125"/>
      <c r="D1" s="125"/>
      <c r="E1" s="124"/>
      <c r="F1" s="124"/>
      <c r="G1" s="124"/>
      <c r="H1" s="124"/>
      <c r="I1" s="123"/>
      <c r="J1" s="10"/>
    </row>
    <row r="2" spans="1:15" s="1" customFormat="1" ht="20.25" customHeight="1" thickBot="1" x14ac:dyDescent="0.3">
      <c r="A2" s="122" t="s">
        <v>34</v>
      </c>
      <c r="B2" s="120"/>
      <c r="C2" s="120"/>
      <c r="D2" s="120"/>
      <c r="E2" s="121">
        <v>40752</v>
      </c>
      <c r="F2" s="120"/>
      <c r="G2" s="120"/>
      <c r="H2" s="120"/>
      <c r="I2" s="119"/>
      <c r="J2" s="10"/>
    </row>
    <row r="3" spans="1:15" s="1" customFormat="1" ht="63.75" customHeight="1" thickBot="1" x14ac:dyDescent="0.3">
      <c r="A3" s="118" t="s">
        <v>33</v>
      </c>
      <c r="B3" s="117" t="s">
        <v>32</v>
      </c>
      <c r="C3" s="117" t="s">
        <v>31</v>
      </c>
      <c r="D3" s="117" t="s">
        <v>30</v>
      </c>
      <c r="E3" s="117" t="s">
        <v>29</v>
      </c>
      <c r="F3" s="116" t="s">
        <v>28</v>
      </c>
      <c r="G3" s="115" t="s">
        <v>27</v>
      </c>
      <c r="H3" s="114" t="s">
        <v>26</v>
      </c>
      <c r="I3" s="113" t="s">
        <v>25</v>
      </c>
      <c r="J3" s="10"/>
    </row>
    <row r="4" spans="1:15" s="1" customFormat="1" x14ac:dyDescent="0.25">
      <c r="A4" s="110" t="s">
        <v>24</v>
      </c>
      <c r="B4" s="110" t="s">
        <v>23</v>
      </c>
      <c r="C4" s="103" t="s">
        <v>22</v>
      </c>
      <c r="D4" s="103" t="s">
        <v>21</v>
      </c>
      <c r="E4" s="103" t="s">
        <v>20</v>
      </c>
      <c r="F4" s="112">
        <v>182</v>
      </c>
      <c r="G4" s="107">
        <v>85</v>
      </c>
      <c r="H4" s="106"/>
      <c r="I4" s="99">
        <f>G4*F4</f>
        <v>15470</v>
      </c>
      <c r="J4" s="10"/>
      <c r="L4" s="93"/>
      <c r="M4" s="92"/>
    </row>
    <row r="5" spans="1:15" s="1" customFormat="1" x14ac:dyDescent="0.25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5" s="1" customFormat="1" x14ac:dyDescent="0.25">
      <c r="A6" s="110"/>
      <c r="B6" s="109"/>
      <c r="C6" s="103"/>
      <c r="D6" s="103"/>
      <c r="E6" s="103"/>
      <c r="F6" s="108"/>
      <c r="G6" s="107"/>
      <c r="H6" s="106"/>
      <c r="I6" s="99"/>
      <c r="J6" s="10"/>
      <c r="K6" s="2"/>
      <c r="L6" s="93"/>
      <c r="M6" s="92"/>
    </row>
    <row r="7" spans="1:15" s="1" customFormat="1" x14ac:dyDescent="0.25">
      <c r="A7" s="110"/>
      <c r="B7" s="109"/>
      <c r="C7" s="103"/>
      <c r="D7" s="103"/>
      <c r="E7" s="103"/>
      <c r="F7" s="108"/>
      <c r="G7" s="107"/>
      <c r="H7" s="106"/>
      <c r="I7" s="99"/>
      <c r="J7" s="10"/>
      <c r="K7" s="2"/>
      <c r="L7" s="93"/>
      <c r="M7" s="92"/>
    </row>
    <row r="8" spans="1:15" s="1" customFormat="1" x14ac:dyDescent="0.25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5" s="1" customFormat="1" ht="15.75" thickBot="1" x14ac:dyDescent="0.3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5" s="1" customFormat="1" x14ac:dyDescent="0.25">
      <c r="A10" s="98" t="s">
        <v>7</v>
      </c>
      <c r="B10" s="76"/>
      <c r="C10" s="97"/>
      <c r="D10" s="97"/>
      <c r="E10" s="97"/>
      <c r="F10" s="96">
        <f>SUM(F4:F9)</f>
        <v>182</v>
      </c>
      <c r="G10" s="95">
        <f>I10/F10</f>
        <v>85</v>
      </c>
      <c r="H10" s="94">
        <v>0</v>
      </c>
      <c r="I10" s="94">
        <f>SUM(I4:I9)</f>
        <v>15470</v>
      </c>
      <c r="J10" s="10"/>
      <c r="L10" s="93"/>
      <c r="M10" s="92"/>
    </row>
    <row r="11" spans="1:15" s="1" customFormat="1" x14ac:dyDescent="0.25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5" s="1" customFormat="1" x14ac:dyDescent="0.25">
      <c r="A12" s="86" t="s">
        <v>19</v>
      </c>
      <c r="B12" s="85"/>
      <c r="C12" s="85"/>
      <c r="D12" s="85"/>
      <c r="E12" s="84"/>
      <c r="F12" s="83" t="s">
        <v>18</v>
      </c>
      <c r="G12" s="82" t="s">
        <v>17</v>
      </c>
      <c r="H12" s="73"/>
      <c r="I12" s="72"/>
      <c r="J12" s="10"/>
    </row>
    <row r="13" spans="1:15" s="1" customFormat="1" x14ac:dyDescent="0.25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5" customFormat="1" x14ac:dyDescent="0.25">
      <c r="A14" s="81"/>
      <c r="B14" s="80"/>
      <c r="C14" s="80"/>
      <c r="D14" s="80"/>
      <c r="E14" s="79" t="s">
        <v>16</v>
      </c>
      <c r="F14" s="75">
        <v>2</v>
      </c>
      <c r="G14" s="74">
        <v>200</v>
      </c>
      <c r="H14" s="73"/>
      <c r="I14" s="72">
        <f>G14*F14</f>
        <v>400</v>
      </c>
      <c r="J14" s="10"/>
      <c r="K14" s="1"/>
      <c r="L14" s="1"/>
      <c r="M14" s="1"/>
      <c r="N14" s="1"/>
      <c r="O14" s="1"/>
    </row>
    <row r="15" spans="1:15" customFormat="1" x14ac:dyDescent="0.25">
      <c r="A15" s="81"/>
      <c r="B15" s="80"/>
      <c r="C15" s="80"/>
      <c r="D15" s="80"/>
      <c r="E15" s="79" t="s">
        <v>15</v>
      </c>
      <c r="F15" s="75">
        <v>3</v>
      </c>
      <c r="G15" s="74">
        <v>380</v>
      </c>
      <c r="H15" s="73"/>
      <c r="I15" s="72">
        <f>G15*F15</f>
        <v>1140</v>
      </c>
      <c r="J15" s="10"/>
      <c r="K15" s="1"/>
      <c r="L15" s="1"/>
      <c r="M15" s="1"/>
      <c r="N15" s="1"/>
      <c r="O15" s="1"/>
    </row>
    <row r="16" spans="1:15" customFormat="1" x14ac:dyDescent="0.25">
      <c r="A16" s="78"/>
      <c r="B16" s="77"/>
      <c r="C16" s="77"/>
      <c r="D16" s="77"/>
      <c r="E16" s="76" t="s">
        <v>14</v>
      </c>
      <c r="F16" s="75">
        <v>4</v>
      </c>
      <c r="G16" s="74">
        <v>280</v>
      </c>
      <c r="H16" s="73"/>
      <c r="I16" s="72">
        <f>G16*F16</f>
        <v>1120</v>
      </c>
      <c r="J16" s="10"/>
      <c r="K16" s="1"/>
      <c r="L16" s="1"/>
      <c r="M16" s="1"/>
      <c r="N16" s="1"/>
      <c r="O16" s="1"/>
    </row>
    <row r="17" spans="1:15" customFormat="1" ht="15.75" thickBot="1" x14ac:dyDescent="0.3">
      <c r="A17" s="71" t="s">
        <v>7</v>
      </c>
      <c r="B17" s="70"/>
      <c r="C17" s="70"/>
      <c r="D17" s="70"/>
      <c r="E17" s="69"/>
      <c r="F17" s="68">
        <f>SUM(F13:F16)</f>
        <v>9</v>
      </c>
      <c r="G17" s="67">
        <v>0</v>
      </c>
      <c r="H17" s="66"/>
      <c r="I17" s="65">
        <f>SUM(I13:I16)</f>
        <v>2660</v>
      </c>
      <c r="J17" s="10"/>
      <c r="K17" s="1"/>
      <c r="L17" s="1"/>
      <c r="M17" s="1"/>
      <c r="N17" s="1"/>
      <c r="O17" s="1"/>
    </row>
    <row r="18" spans="1:15" customFormat="1" ht="18.75" customHeight="1" thickBot="1" x14ac:dyDescent="0.3">
      <c r="A18" s="64" t="s">
        <v>13</v>
      </c>
      <c r="B18" s="63"/>
      <c r="C18" s="63"/>
      <c r="D18" s="63"/>
      <c r="E18" s="62"/>
      <c r="F18" s="61"/>
      <c r="G18" s="60"/>
      <c r="H18" s="55"/>
      <c r="I18" s="53">
        <f>+I17+I10</f>
        <v>18130</v>
      </c>
      <c r="J18" s="10"/>
      <c r="K18" s="1"/>
      <c r="L18" s="26"/>
      <c r="M18" s="1"/>
      <c r="N18" s="1"/>
      <c r="O18" s="1"/>
    </row>
    <row r="19" spans="1:15" customFormat="1" ht="18.75" customHeight="1" thickBot="1" x14ac:dyDescent="0.3">
      <c r="A19" s="59" t="s">
        <v>12</v>
      </c>
      <c r="B19" s="58"/>
      <c r="C19" s="58"/>
      <c r="D19" s="58"/>
      <c r="E19" s="57"/>
      <c r="F19" s="56"/>
      <c r="G19" s="55"/>
      <c r="H19" s="54"/>
      <c r="I19" s="53">
        <f>+I18*12</f>
        <v>217560</v>
      </c>
      <c r="J19" s="10"/>
      <c r="K19" s="1"/>
      <c r="L19" s="1"/>
      <c r="M19" s="1"/>
      <c r="N19" s="1"/>
      <c r="O19" s="1"/>
    </row>
    <row r="20" spans="1:15" customFormat="1" ht="18.75" customHeight="1" x14ac:dyDescent="0.25">
      <c r="A20" s="52" t="s">
        <v>11</v>
      </c>
      <c r="B20" s="51"/>
      <c r="C20" s="51"/>
      <c r="D20" s="51"/>
      <c r="E20" s="50" t="s">
        <v>10</v>
      </c>
      <c r="F20" s="50" t="s">
        <v>9</v>
      </c>
      <c r="G20" s="49" t="s">
        <v>8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 x14ac:dyDescent="0.3">
      <c r="A21" s="46" t="s">
        <v>7</v>
      </c>
      <c r="B21" s="45"/>
      <c r="C21" s="45"/>
      <c r="D21" s="45"/>
      <c r="E21" s="44">
        <f>34922/12</f>
        <v>2910.1666666666665</v>
      </c>
      <c r="F21" s="44">
        <f>E21*12</f>
        <v>34922</v>
      </c>
      <c r="G21" s="43">
        <f>E21/F10</f>
        <v>15.989926739926739</v>
      </c>
      <c r="H21" s="42">
        <f>F21/I19</f>
        <v>0.16051663908806765</v>
      </c>
      <c r="I21" s="41"/>
      <c r="J21" s="10"/>
      <c r="K21" s="1"/>
      <c r="L21" s="26"/>
      <c r="M21" s="1"/>
      <c r="N21" s="1"/>
      <c r="O21" s="26"/>
    </row>
    <row r="22" spans="1:15" customFormat="1" ht="18.75" customHeight="1" x14ac:dyDescent="0.25">
      <c r="A22" s="40" t="s">
        <v>6</v>
      </c>
      <c r="B22" s="39"/>
      <c r="C22" s="39"/>
      <c r="D22" s="39"/>
      <c r="E22" s="38" t="s">
        <v>5</v>
      </c>
      <c r="F22" s="37"/>
      <c r="G22" s="36"/>
      <c r="H22" s="35">
        <v>0</v>
      </c>
      <c r="I22" s="34">
        <f>+I19*-H22</f>
        <v>0</v>
      </c>
      <c r="J22" s="10"/>
      <c r="K22" s="1"/>
      <c r="L22" s="1"/>
      <c r="M22" s="1"/>
      <c r="N22" s="1"/>
      <c r="O22" s="26"/>
    </row>
    <row r="23" spans="1:15" customFormat="1" ht="18.75" customHeight="1" x14ac:dyDescent="0.25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15219.833333333334</v>
      </c>
      <c r="J23" s="10"/>
      <c r="K23" s="1"/>
      <c r="L23" s="1"/>
      <c r="M23" s="1"/>
      <c r="N23" s="1"/>
      <c r="O23" s="26"/>
    </row>
    <row r="24" spans="1:15" customFormat="1" ht="18.75" customHeight="1" x14ac:dyDescent="0.25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182638</v>
      </c>
      <c r="J24" s="10"/>
      <c r="K24" s="1"/>
      <c r="L24" s="1"/>
      <c r="M24" s="1"/>
      <c r="N24" s="1"/>
      <c r="O24" s="1"/>
    </row>
    <row r="25" spans="1:15" customFormat="1" ht="18.75" customHeight="1" x14ac:dyDescent="0.25">
      <c r="A25" s="22" t="s">
        <v>2</v>
      </c>
      <c r="B25" s="20"/>
      <c r="C25" s="20"/>
      <c r="D25" s="20"/>
      <c r="E25" s="21"/>
      <c r="F25" s="21"/>
      <c r="G25" s="24"/>
      <c r="H25" s="18">
        <v>0.11</v>
      </c>
      <c r="I25" s="23">
        <f>+I24/H25</f>
        <v>1660345.4545454546</v>
      </c>
      <c r="J25" s="10"/>
      <c r="K25" s="1"/>
      <c r="L25" s="1"/>
      <c r="M25" s="1"/>
      <c r="N25" s="1"/>
      <c r="O25" s="1"/>
    </row>
    <row r="26" spans="1:15" customFormat="1" ht="18.75" customHeight="1" x14ac:dyDescent="0.25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1660000</v>
      </c>
      <c r="J26" s="10"/>
      <c r="K26" s="1"/>
      <c r="L26" s="1"/>
      <c r="M26" s="1"/>
      <c r="N26" s="1"/>
      <c r="O26" s="1"/>
    </row>
    <row r="27" spans="1:15" customFormat="1" ht="39" customHeight="1" thickBot="1" x14ac:dyDescent="0.3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 x14ac:dyDescent="0.25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 x14ac:dyDescent="0.25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s="1" customFormat="1" x14ac:dyDescent="0.25">
      <c r="A62" s="2"/>
      <c r="F62" s="3"/>
      <c r="G62" s="4"/>
      <c r="H62" s="4"/>
    </row>
    <row r="63" spans="1:15" s="1" customFormat="1" x14ac:dyDescent="0.25">
      <c r="A63" s="2"/>
      <c r="F63" s="3"/>
      <c r="G63" s="4"/>
      <c r="H63" s="4"/>
    </row>
    <row r="64" spans="1:15" s="1" customFormat="1" x14ac:dyDescent="0.25">
      <c r="A64" s="2"/>
      <c r="F64" s="3"/>
      <c r="G64" s="4"/>
      <c r="H64" s="4"/>
    </row>
    <row r="65" spans="6:8" s="1" customFormat="1" x14ac:dyDescent="0.25">
      <c r="F65" s="3"/>
      <c r="G65" s="4"/>
      <c r="H65" s="4"/>
    </row>
    <row r="66" spans="6:8" s="1" customFormat="1" x14ac:dyDescent="0.25">
      <c r="F66" s="3"/>
      <c r="G66" s="4"/>
      <c r="H66" s="4"/>
    </row>
    <row r="67" spans="6:8" s="1" customFormat="1" x14ac:dyDescent="0.25">
      <c r="F67" s="3"/>
      <c r="G67" s="4"/>
      <c r="H67" s="4"/>
    </row>
    <row r="68" spans="6:8" s="1" customFormat="1" x14ac:dyDescent="0.25">
      <c r="F68" s="3"/>
      <c r="G68" s="4"/>
      <c r="H68" s="4"/>
    </row>
    <row r="69" spans="6:8" s="1" customFormat="1" x14ac:dyDescent="0.25">
      <c r="F69" s="3"/>
      <c r="G69" s="4"/>
      <c r="H69" s="4"/>
    </row>
    <row r="70" spans="6:8" s="1" customFormat="1" x14ac:dyDescent="0.25">
      <c r="F70" s="3"/>
      <c r="G70" s="4"/>
      <c r="H70" s="4"/>
    </row>
    <row r="71" spans="6:8" s="1" customFormat="1" x14ac:dyDescent="0.25">
      <c r="F71" s="3"/>
      <c r="G71" s="4"/>
      <c r="H71" s="4"/>
    </row>
    <row r="72" spans="6:8" s="1" customFormat="1" x14ac:dyDescent="0.25">
      <c r="F72" s="3"/>
      <c r="G72" s="4"/>
      <c r="H72" s="4"/>
    </row>
    <row r="73" spans="6:8" s="1" customFormat="1" x14ac:dyDescent="0.25">
      <c r="F73" s="3"/>
      <c r="G73" s="4"/>
      <c r="H73" s="4"/>
    </row>
    <row r="74" spans="6:8" s="1" customFormat="1" x14ac:dyDescent="0.25">
      <c r="F74" s="3"/>
      <c r="G74" s="4"/>
      <c r="H74" s="4"/>
    </row>
    <row r="75" spans="6:8" s="1" customFormat="1" x14ac:dyDescent="0.25">
      <c r="F75" s="3"/>
      <c r="G75" s="4"/>
      <c r="H75" s="4"/>
    </row>
    <row r="76" spans="6:8" s="1" customFormat="1" x14ac:dyDescent="0.25">
      <c r="F76" s="3"/>
      <c r="G76" s="4"/>
      <c r="H76" s="4"/>
    </row>
    <row r="77" spans="6:8" s="1" customFormat="1" x14ac:dyDescent="0.25">
      <c r="F77" s="3"/>
      <c r="G77" s="4"/>
      <c r="H77" s="4"/>
    </row>
    <row r="78" spans="6:8" s="1" customFormat="1" x14ac:dyDescent="0.25">
      <c r="F78" s="3"/>
      <c r="G78" s="4"/>
      <c r="H78" s="4"/>
    </row>
    <row r="79" spans="6:8" s="1" customFormat="1" x14ac:dyDescent="0.25">
      <c r="F79" s="3"/>
      <c r="G79" s="4"/>
      <c r="H79" s="4"/>
    </row>
    <row r="80" spans="6:8" s="1" customFormat="1" x14ac:dyDescent="0.25"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2011-08-24T12:26:43Z</dcterms:created>
  <dcterms:modified xsi:type="dcterms:W3CDTF">2011-08-24T12:26:54Z</dcterms:modified>
</cp:coreProperties>
</file>