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520" yWindow="2400" windowWidth="15915" windowHeight="615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10" s="1"/>
  <c r="G10" s="1"/>
  <c r="F10"/>
  <c r="I14"/>
  <c r="I15"/>
  <c r="I17" s="1"/>
  <c r="I16"/>
  <c r="F17"/>
  <c r="F21"/>
  <c r="G21"/>
  <c r="I18" l="1"/>
  <c r="I23" l="1"/>
  <c r="I19"/>
  <c r="I22" l="1"/>
  <c r="H21"/>
</calcChain>
</file>

<file path=xl/sharedStrings.xml><?xml version="1.0" encoding="utf-8"?>
<sst xmlns="http://schemas.openxmlformats.org/spreadsheetml/2006/main" count="34" uniqueCount="30">
  <si>
    <t>CONTRIER</t>
  </si>
  <si>
    <t>Direct Comparable method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</si>
  <si>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</si>
  <si>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</si>
  <si>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</si>
  <si>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</si>
  <si>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</si>
  <si>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</si>
  <si>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</si>
  <si>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</si>
  <si>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</si>
  <si>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</si>
  <si>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</si>
  <si>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</si>
  <si>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</si>
  <si>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N/A</t>
  </si>
  <si>
    <t>1 flat</t>
  </si>
  <si>
    <t>Holiday Flat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</si>
  <si>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</si>
  <si>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</si>
  <si>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</si>
  <si>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</si>
  <si>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</si>
  <si>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</si>
  <si>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</si>
  <si>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</si>
  <si>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</si>
  <si>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</si>
  <si>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Contrier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</si>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</sst>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4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4" fontId="0" fillId="0" borderId="0" xfId="0" applyNumberFormat="1"/>
    <xf numFmtId="166" fontId="3" fillId="0" borderId="6" xfId="0" applyNumberFormat="1" applyFont="1" applyBorder="1"/>
    <xf numFmtId="10" fontId="5" fillId="3" borderId="7" xfId="1" applyNumberFormat="1" applyFont="1" applyFill="1" applyBorder="1"/>
    <xf numFmtId="9" fontId="3" fillId="0" borderId="8" xfId="1" applyFont="1" applyBorder="1"/>
    <xf numFmtId="49" fontId="3" fillId="0" borderId="8" xfId="0" applyNumberFormat="1" applyFont="1" applyBorder="1" applyAlignment="1">
      <alignment wrapText="1"/>
    </xf>
    <xf numFmtId="49" fontId="3" fillId="0" borderId="8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3" fillId="0" borderId="15" xfId="1" applyNumberFormat="1" applyFont="1" applyBorder="1"/>
    <xf numFmtId="168" fontId="3" fillId="0" borderId="16" xfId="0" applyNumberFormat="1" applyFont="1" applyBorder="1" applyAlignment="1">
      <alignment horizontal="right" wrapText="1"/>
    </xf>
    <xf numFmtId="165" fontId="3" fillId="4" borderId="16" xfId="0" applyNumberFormat="1" applyFont="1" applyFill="1" applyBorder="1" applyAlignment="1">
      <alignment horizontal="right" wrapText="1"/>
    </xf>
    <xf numFmtId="49" fontId="3" fillId="0" borderId="17" xfId="0" applyNumberFormat="1" applyFont="1" applyBorder="1" applyAlignment="1">
      <alignment horizontal="left" wrapText="1"/>
    </xf>
    <xf numFmtId="49" fontId="2" fillId="0" borderId="18" xfId="0" applyNumberFormat="1" applyFont="1" applyBorder="1" applyAlignment="1">
      <alignment horizontal="left" wrapText="1"/>
    </xf>
    <xf numFmtId="166" fontId="3" fillId="0" borderId="19" xfId="0" applyNumberFormat="1" applyFont="1" applyBorder="1"/>
    <xf numFmtId="164" fontId="3" fillId="0" borderId="20" xfId="0" applyNumberFormat="1" applyFont="1" applyBorder="1"/>
    <xf numFmtId="10" fontId="5" fillId="0" borderId="21" xfId="1" applyNumberFormat="1" applyFont="1" applyBorder="1" applyAlignment="1">
      <alignment horizontal="center"/>
    </xf>
    <xf numFmtId="49" fontId="5" fillId="0" borderId="21" xfId="0" applyNumberFormat="1" applyFont="1" applyBorder="1" applyAlignment="1">
      <alignment horizontal="center" wrapText="1"/>
    </xf>
    <xf numFmtId="49" fontId="5" fillId="0" borderId="22" xfId="0" applyNumberFormat="1" applyFont="1" applyBorder="1" applyAlignment="1">
      <alignment horizontal="left" wrapText="1"/>
    </xf>
    <xf numFmtId="49" fontId="6" fillId="0" borderId="23" xfId="0" applyNumberFormat="1" applyFont="1" applyBorder="1" applyAlignment="1">
      <alignment horizontal="left" wrapText="1"/>
    </xf>
    <xf numFmtId="166" fontId="5" fillId="0" borderId="24" xfId="0" applyNumberFormat="1" applyFont="1" applyBorder="1"/>
    <xf numFmtId="14" fontId="5" fillId="0" borderId="25" xfId="0" applyNumberFormat="1" applyFont="1" applyBorder="1"/>
    <xf numFmtId="164" fontId="5" fillId="0" borderId="25" xfId="0" applyNumberFormat="1" applyFont="1" applyBorder="1"/>
    <xf numFmtId="49" fontId="5" fillId="0" borderId="26" xfId="0" applyNumberFormat="1" applyFont="1" applyBorder="1" applyAlignment="1">
      <alignment horizontal="centerContinuous" wrapText="1"/>
    </xf>
    <xf numFmtId="49" fontId="5" fillId="0" borderId="26" xfId="0" applyNumberFormat="1" applyFont="1" applyBorder="1" applyAlignment="1">
      <alignment horizontal="left" wrapText="1"/>
    </xf>
    <xf numFmtId="14" fontId="5" fillId="0" borderId="26" xfId="0" applyNumberFormat="1" applyFont="1" applyBorder="1"/>
    <xf numFmtId="14" fontId="6" fillId="0" borderId="27" xfId="0" applyNumberFormat="1" applyFont="1" applyBorder="1"/>
    <xf numFmtId="164" fontId="5" fillId="0" borderId="28" xfId="0" applyNumberFormat="1" applyFont="1" applyBorder="1"/>
    <xf numFmtId="1" fontId="5" fillId="0" borderId="25" xfId="0" applyNumberFormat="1" applyFont="1" applyBorder="1"/>
    <xf numFmtId="49" fontId="5" fillId="0" borderId="28" xfId="0" applyNumberFormat="1" applyFont="1" applyBorder="1" applyAlignment="1">
      <alignment horizontal="left" wrapText="1"/>
    </xf>
    <xf numFmtId="49" fontId="5" fillId="0" borderId="25" xfId="0" applyNumberFormat="1" applyFont="1" applyBorder="1" applyAlignment="1">
      <alignment horizontal="left" wrapText="1"/>
    </xf>
    <xf numFmtId="49" fontId="6" fillId="0" borderId="29" xfId="0" applyNumberFormat="1" applyFont="1" applyBorder="1" applyAlignment="1">
      <alignment horizontal="left" wrapText="1"/>
    </xf>
    <xf numFmtId="166" fontId="5" fillId="5" borderId="24" xfId="0" applyNumberFormat="1" applyFont="1" applyFill="1" applyBorder="1"/>
    <xf numFmtId="164" fontId="5" fillId="5" borderId="25" xfId="0" applyNumberFormat="1" applyFont="1" applyFill="1" applyBorder="1"/>
    <xf numFmtId="164" fontId="5" fillId="5" borderId="28" xfId="0" applyNumberFormat="1" applyFont="1" applyFill="1" applyBorder="1"/>
    <xf numFmtId="1" fontId="5" fillId="5" borderId="25" xfId="0" applyNumberFormat="1" applyFont="1" applyFill="1" applyBorder="1"/>
    <xf numFmtId="49" fontId="5" fillId="5" borderId="28" xfId="0" applyNumberFormat="1" applyFont="1" applyFill="1" applyBorder="1" applyAlignment="1">
      <alignment horizontal="left" wrapText="1"/>
    </xf>
    <xf numFmtId="49" fontId="3" fillId="0" borderId="25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3" fillId="0" borderId="30" xfId="0" applyNumberFormat="1" applyFont="1" applyBorder="1"/>
    <xf numFmtId="164" fontId="3" fillId="0" borderId="0" xfId="0" applyNumberFormat="1" applyFont="1" applyBorder="1"/>
    <xf numFmtId="164" fontId="3" fillId="0" borderId="31" xfId="0" applyNumberFormat="1" applyFont="1" applyBorder="1"/>
    <xf numFmtId="1" fontId="3" fillId="0" borderId="0" xfId="0" applyNumberFormat="1" applyFont="1" applyBorder="1"/>
    <xf numFmtId="49" fontId="3" fillId="0" borderId="32" xfId="0" applyNumberFormat="1" applyFont="1" applyBorder="1" applyAlignment="1">
      <alignment horizontal="left" wrapText="1"/>
    </xf>
    <xf numFmtId="49" fontId="3" fillId="0" borderId="33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49" fontId="3" fillId="0" borderId="31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5" xfId="0" applyNumberFormat="1" applyFont="1" applyBorder="1" applyAlignment="1">
      <alignment horizontal="right" wrapText="1"/>
    </xf>
    <xf numFmtId="164" fontId="5" fillId="0" borderId="32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/>
    </xf>
    <xf numFmtId="49" fontId="3" fillId="0" borderId="32" xfId="0" applyNumberFormat="1" applyFont="1" applyBorder="1" applyAlignment="1">
      <alignment horizontal="center" wrapText="1"/>
    </xf>
    <xf numFmtId="49" fontId="5" fillId="0" borderId="33" xfId="0" applyNumberFormat="1" applyFont="1" applyBorder="1" applyAlignment="1">
      <alignment horizontal="center" wrapText="1"/>
    </xf>
    <xf numFmtId="49" fontId="6" fillId="0" borderId="34" xfId="0" applyNumberFormat="1" applyFont="1" applyBorder="1" applyAlignment="1">
      <alignment horizontal="center" wrapText="1"/>
    </xf>
    <xf numFmtId="164" fontId="3" fillId="4" borderId="36" xfId="0" applyNumberFormat="1" applyFont="1" applyFill="1" applyBorder="1"/>
    <xf numFmtId="1" fontId="3" fillId="4" borderId="37" xfId="0" applyNumberFormat="1" applyFont="1" applyFill="1" applyBorder="1"/>
    <xf numFmtId="49" fontId="3" fillId="4" borderId="36" xfId="0" applyNumberFormat="1" applyFont="1" applyFill="1" applyBorder="1" applyAlignment="1">
      <alignment horizontal="left" wrapText="1"/>
    </xf>
    <xf numFmtId="49" fontId="3" fillId="4" borderId="37" xfId="0" applyNumberFormat="1" applyFont="1" applyFill="1" applyBorder="1" applyAlignment="1">
      <alignment horizontal="left" wrapText="1"/>
    </xf>
    <xf numFmtId="49" fontId="2" fillId="4" borderId="38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39" xfId="0" applyNumberFormat="1" applyFont="1" applyBorder="1"/>
    <xf numFmtId="4" fontId="3" fillId="0" borderId="31" xfId="0" applyNumberFormat="1" applyFont="1" applyBorder="1"/>
    <xf numFmtId="3" fontId="3" fillId="0" borderId="37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3" fillId="0" borderId="33" xfId="0" applyNumberFormat="1" applyFont="1" applyBorder="1"/>
    <xf numFmtId="4" fontId="3" fillId="0" borderId="32" xfId="0" applyNumberFormat="1" applyFont="1" applyBorder="1"/>
    <xf numFmtId="3" fontId="3" fillId="0" borderId="33" xfId="0" applyNumberFormat="1" applyFont="1" applyBorder="1"/>
    <xf numFmtId="49" fontId="2" fillId="0" borderId="31" xfId="0" applyNumberFormat="1" applyFont="1" applyBorder="1" applyAlignment="1">
      <alignment horizontal="center" wrapText="1"/>
    </xf>
    <xf numFmtId="49" fontId="3" fillId="0" borderId="28" xfId="0" applyNumberFormat="1" applyFont="1" applyBorder="1" applyAlignment="1">
      <alignment horizontal="left" wrapText="1"/>
    </xf>
    <xf numFmtId="49" fontId="2" fillId="0" borderId="34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1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1" xfId="0" applyNumberFormat="1" applyFont="1" applyBorder="1" applyAlignment="1">
      <alignment horizontal="left" wrapText="1"/>
    </xf>
    <xf numFmtId="49" fontId="2" fillId="0" borderId="35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1" xfId="0" applyNumberFormat="1" applyFont="1" applyBorder="1" applyAlignment="1">
      <alignment horizontal="center" wrapText="1"/>
    </xf>
    <xf numFmtId="49" fontId="5" fillId="0" borderId="24" xfId="0" applyNumberFormat="1" applyFont="1" applyBorder="1" applyAlignment="1">
      <alignment horizontal="center" wrapText="1"/>
    </xf>
    <xf numFmtId="49" fontId="5" fillId="0" borderId="25" xfId="0" applyNumberFormat="1" applyFont="1" applyBorder="1" applyAlignment="1">
      <alignment wrapText="1"/>
    </xf>
    <xf numFmtId="49" fontId="5" fillId="0" borderId="40" xfId="0" applyNumberFormat="1" applyFont="1" applyBorder="1" applyAlignment="1">
      <alignment horizontal="center" wrapText="1"/>
    </xf>
    <xf numFmtId="14" fontId="5" fillId="0" borderId="25" xfId="0" applyNumberFormat="1" applyFont="1" applyBorder="1" applyAlignment="1">
      <alignment horizontal="center" wrapText="1"/>
    </xf>
    <xf numFmtId="14" fontId="5" fillId="0" borderId="40" xfId="0" applyNumberFormat="1" applyFont="1" applyBorder="1" applyAlignment="1">
      <alignment horizontal="center" wrapText="1"/>
    </xf>
    <xf numFmtId="14" fontId="6" fillId="0" borderId="29" xfId="0" applyNumberFormat="1" applyFont="1" applyBorder="1" applyAlignment="1">
      <alignment horizontal="center"/>
    </xf>
    <xf numFmtId="14" fontId="3" fillId="0" borderId="41" xfId="0" applyNumberFormat="1" applyFont="1" applyBorder="1"/>
    <xf numFmtId="14" fontId="3" fillId="0" borderId="25" xfId="0" applyNumberFormat="1" applyFont="1" applyBorder="1"/>
    <xf numFmtId="15" fontId="3" fillId="0" borderId="25" xfId="0" applyNumberFormat="1" applyFont="1" applyBorder="1"/>
    <xf numFmtId="14" fontId="2" fillId="0" borderId="29" xfId="0" applyNumberFormat="1" applyFont="1" applyBorder="1"/>
    <xf numFmtId="14" fontId="3" fillId="0" borderId="42" xfId="0" applyNumberFormat="1" applyFont="1" applyBorder="1"/>
    <xf numFmtId="14" fontId="3" fillId="0" borderId="43" xfId="0" applyNumberFormat="1" applyFont="1" applyBorder="1"/>
    <xf numFmtId="14" fontId="8" fillId="0" borderId="43" xfId="0" applyNumberFormat="1" applyFont="1" applyBorder="1"/>
    <xf numFmtId="14" fontId="9" fillId="0" borderId="44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1428750</xdr:colOff>
      <xdr:row>4</xdr:row>
      <xdr:rowOff>95251</xdr:rowOff>
    </xdr:from>
    <xdr:ext cx="5133975" cy="914400"/>
    <xdr:sp macro="" textlink="">
      <xdr:nvSpPr>
        <xdr:cNvPr id="2" name="Rectangle 1"/>
        <xdr:cNvSpPr/>
      </xdr:nvSpPr>
      <xdr:spPr>
        <a:xfrm>
          <a:off x="609600" y="857251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5400" b="1" cap="none" spc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gradFill>
                <a:gsLst>
                  <a:gs pos="0">
                    <a:schemeClr val="accent1">
                      <a:tint val="40000"/>
                      <a:satMod val="250000"/>
                    </a:schemeClr>
                  </a:gs>
                  <a:gs pos="9000">
                    <a:schemeClr val="accent1">
                      <a:tint val="52000"/>
                      <a:satMod val="300000"/>
                    </a:schemeClr>
                  </a:gs>
                  <a:gs pos="50000">
                    <a:schemeClr val="accent1">
                      <a:shade val="20000"/>
                      <a:satMod val="300000"/>
                    </a:schemeClr>
                  </a:gs>
                  <a:gs pos="79000">
                    <a:schemeClr val="accent1">
                      <a:tint val="52000"/>
                      <a:satMod val="300000"/>
                    </a:schemeClr>
                  </a:gs>
                  <a:gs pos="100000">
                    <a:schemeClr val="accent1">
                      <a:tint val="40000"/>
                      <a:satMod val="250000"/>
                    </a:schemeClr>
                  </a:gs>
                </a:gsLst>
                <a:lin ang="5400000"/>
              </a:gradFill>
              <a:effectLst/>
            </a:rPr>
            <a:t>Sectional title</a:t>
          </a:r>
        </a:p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78"/>
  <sheetViews>
    <sheetView tabSelected="1" workbookViewId="0">
      <selection activeCell="A2" sqref="A2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23" t="s">
        <v>29</v>
      </c>
      <c r="B1" s="122" t="s">
        <v>28</v>
      </c>
      <c r="C1" s="122"/>
      <c r="D1" s="122"/>
      <c r="E1" s="121"/>
      <c r="F1" s="121"/>
      <c r="G1" s="121"/>
      <c r="H1" s="121"/>
      <c r="I1" s="120"/>
      <c r="J1" s="16"/>
    </row>
    <row r="2" spans="1:13" s="1" customFormat="1" ht="20.25" customHeight="1" thickBot="1">
      <c r="A2" s="119" t="s">
        <v>27</v>
      </c>
      <c r="B2" s="117"/>
      <c r="C2" s="117"/>
      <c r="D2" s="117"/>
      <c r="E2" s="118">
        <v>40743</v>
      </c>
      <c r="F2" s="117"/>
      <c r="G2" s="117"/>
      <c r="H2" s="117"/>
      <c r="I2" s="116"/>
      <c r="J2" s="16"/>
    </row>
    <row r="3" spans="1:13" s="1" customFormat="1" ht="63.75" customHeight="1" thickBot="1">
      <c r="A3" s="115" t="s">
        <v>26</v>
      </c>
      <c r="B3" s="114" t="s">
        <v>25</v>
      </c>
      <c r="C3" s="114" t="s">
        <v>24</v>
      </c>
      <c r="D3" s="114" t="s">
        <v>23</v>
      </c>
      <c r="E3" s="114" t="s">
        <v>22</v>
      </c>
      <c r="F3" s="113" t="s">
        <v>21</v>
      </c>
      <c r="G3" s="112" t="s">
        <v>20</v>
      </c>
      <c r="H3" s="111" t="s">
        <v>19</v>
      </c>
      <c r="I3" s="110" t="s">
        <v>18</v>
      </c>
      <c r="J3" s="16"/>
    </row>
    <row r="4" spans="1:13" s="1" customFormat="1">
      <c r="A4" s="107" t="s">
        <v>17</v>
      </c>
      <c r="B4" s="107" t="s">
        <v>16</v>
      </c>
      <c r="C4" s="100" t="s">
        <v>15</v>
      </c>
      <c r="D4" s="100" t="s">
        <v>15</v>
      </c>
      <c r="E4" s="100" t="s">
        <v>15</v>
      </c>
      <c r="F4" s="109">
        <v>120</v>
      </c>
      <c r="G4" s="104">
        <v>14300</v>
      </c>
      <c r="H4" s="103"/>
      <c r="I4" s="96">
        <f>G4*F4</f>
        <v>1716000</v>
      </c>
      <c r="J4" s="16"/>
      <c r="L4" s="90"/>
      <c r="M4" s="89"/>
    </row>
    <row r="5" spans="1:13" s="1" customFormat="1">
      <c r="A5" s="107"/>
      <c r="B5" s="107"/>
      <c r="C5" s="100"/>
      <c r="D5" s="100"/>
      <c r="E5" s="100"/>
      <c r="F5" s="108"/>
      <c r="G5" s="104"/>
      <c r="H5" s="103"/>
      <c r="I5" s="96"/>
      <c r="J5" s="16"/>
      <c r="L5" s="90"/>
      <c r="M5" s="89"/>
    </row>
    <row r="6" spans="1:13" s="1" customFormat="1">
      <c r="A6" s="107"/>
      <c r="B6" s="107"/>
      <c r="C6" s="100"/>
      <c r="D6" s="100"/>
      <c r="E6" s="100"/>
      <c r="F6" s="108"/>
      <c r="G6" s="104"/>
      <c r="H6" s="103"/>
      <c r="I6" s="96"/>
      <c r="J6" s="16"/>
      <c r="L6" s="90"/>
      <c r="M6" s="89"/>
    </row>
    <row r="7" spans="1:13" s="1" customFormat="1">
      <c r="A7" s="107"/>
      <c r="B7" s="106"/>
      <c r="C7" s="100"/>
      <c r="D7" s="100"/>
      <c r="E7" s="100"/>
      <c r="F7" s="108"/>
      <c r="G7" s="104"/>
      <c r="H7" s="103"/>
      <c r="I7" s="96"/>
      <c r="J7" s="16"/>
      <c r="L7" s="90"/>
      <c r="M7" s="89"/>
    </row>
    <row r="8" spans="1:13" s="1" customFormat="1">
      <c r="A8" s="107"/>
      <c r="B8" s="106"/>
      <c r="C8" s="100"/>
      <c r="D8" s="100"/>
      <c r="E8" s="100"/>
      <c r="F8" s="105"/>
      <c r="G8" s="104"/>
      <c r="H8" s="103"/>
      <c r="I8" s="96"/>
      <c r="J8" s="16"/>
      <c r="K8" s="2"/>
      <c r="L8" s="90"/>
      <c r="M8" s="89"/>
    </row>
    <row r="9" spans="1:13" s="1" customFormat="1" ht="15.75" thickBot="1">
      <c r="A9" s="102"/>
      <c r="B9" s="101"/>
      <c r="C9" s="81"/>
      <c r="D9" s="100"/>
      <c r="E9" s="100"/>
      <c r="F9" s="99"/>
      <c r="G9" s="98"/>
      <c r="H9" s="97"/>
      <c r="I9" s="96"/>
      <c r="J9" s="16"/>
      <c r="L9" s="90"/>
      <c r="M9" s="89"/>
    </row>
    <row r="10" spans="1:13" s="1" customFormat="1">
      <c r="A10" s="95" t="s">
        <v>3</v>
      </c>
      <c r="B10" s="73"/>
      <c r="C10" s="94"/>
      <c r="D10" s="94"/>
      <c r="E10" s="94"/>
      <c r="F10" s="93">
        <f>SUM(F4:F9)</f>
        <v>120</v>
      </c>
      <c r="G10" s="92">
        <f>I10/F10</f>
        <v>14300</v>
      </c>
      <c r="H10" s="91">
        <v>0</v>
      </c>
      <c r="I10" s="91">
        <f>SUM(I4:I9)</f>
        <v>1716000</v>
      </c>
      <c r="J10" s="16"/>
      <c r="L10" s="90"/>
      <c r="M10" s="89"/>
    </row>
    <row r="11" spans="1:13" s="1" customFormat="1">
      <c r="A11" s="88"/>
      <c r="B11" s="87"/>
      <c r="C11" s="87"/>
      <c r="D11" s="87"/>
      <c r="E11" s="86"/>
      <c r="F11" s="85"/>
      <c r="G11" s="84"/>
      <c r="H11" s="70"/>
      <c r="I11" s="69"/>
      <c r="J11" s="16"/>
    </row>
    <row r="12" spans="1:13" s="1" customFormat="1">
      <c r="A12" s="83" t="s">
        <v>14</v>
      </c>
      <c r="B12" s="82"/>
      <c r="C12" s="82"/>
      <c r="D12" s="82"/>
      <c r="E12" s="81"/>
      <c r="F12" s="80" t="s">
        <v>13</v>
      </c>
      <c r="G12" s="79" t="s">
        <v>12</v>
      </c>
      <c r="H12" s="70"/>
      <c r="I12" s="69"/>
      <c r="J12" s="16"/>
    </row>
    <row r="13" spans="1:13" s="1" customFormat="1">
      <c r="A13" s="78"/>
      <c r="B13" s="77"/>
      <c r="C13" s="77"/>
      <c r="D13" s="77"/>
      <c r="E13" s="76"/>
      <c r="F13" s="72"/>
      <c r="G13" s="71"/>
      <c r="H13" s="70"/>
      <c r="I13" s="69"/>
      <c r="J13" s="16"/>
    </row>
    <row r="14" spans="1:13" s="1" customFormat="1">
      <c r="A14" s="78"/>
      <c r="B14" s="77"/>
      <c r="C14" s="77"/>
      <c r="D14" s="77"/>
      <c r="E14" s="76" t="s">
        <v>11</v>
      </c>
      <c r="F14" s="72"/>
      <c r="G14" s="71"/>
      <c r="H14" s="70"/>
      <c r="I14" s="69">
        <f>G14*F14</f>
        <v>0</v>
      </c>
      <c r="J14" s="16"/>
    </row>
    <row r="15" spans="1:13" s="1" customFormat="1">
      <c r="A15" s="78"/>
      <c r="B15" s="77"/>
      <c r="C15" s="77"/>
      <c r="D15" s="77"/>
      <c r="E15" s="76" t="s">
        <v>10</v>
      </c>
      <c r="F15" s="72"/>
      <c r="G15" s="71"/>
      <c r="H15" s="70"/>
      <c r="I15" s="69">
        <f>G15*F15</f>
        <v>0</v>
      </c>
      <c r="J15" s="16"/>
    </row>
    <row r="16" spans="1:13" s="1" customFormat="1">
      <c r="A16" s="75"/>
      <c r="B16" s="74"/>
      <c r="C16" s="74"/>
      <c r="D16" s="74"/>
      <c r="E16" s="73"/>
      <c r="F16" s="72"/>
      <c r="G16" s="71"/>
      <c r="H16" s="70"/>
      <c r="I16" s="69">
        <f>G16*F16</f>
        <v>0</v>
      </c>
      <c r="J16" s="16"/>
    </row>
    <row r="17" spans="1:15" s="1" customFormat="1" ht="15.75" thickBot="1">
      <c r="A17" s="68" t="s">
        <v>3</v>
      </c>
      <c r="B17" s="67"/>
      <c r="C17" s="67"/>
      <c r="D17" s="67"/>
      <c r="E17" s="66"/>
      <c r="F17" s="65">
        <f>SUM(F13:F16)</f>
        <v>0</v>
      </c>
      <c r="G17" s="64"/>
      <c r="H17" s="63"/>
      <c r="I17" s="62">
        <f>SUM(I13:I16)</f>
        <v>0</v>
      </c>
      <c r="J17" s="16"/>
    </row>
    <row r="18" spans="1:15" customFormat="1" ht="18.75" customHeight="1" thickBot="1">
      <c r="A18" s="61" t="s">
        <v>9</v>
      </c>
      <c r="B18" s="60"/>
      <c r="C18" s="60"/>
      <c r="D18" s="60"/>
      <c r="E18" s="59"/>
      <c r="F18" s="58"/>
      <c r="G18" s="57"/>
      <c r="H18" s="52"/>
      <c r="I18" s="50">
        <f>+I17+I10</f>
        <v>1716000</v>
      </c>
      <c r="J18" s="16"/>
      <c r="K18" s="1"/>
      <c r="L18" s="23"/>
      <c r="M18" s="1"/>
      <c r="N18" s="1"/>
      <c r="O18" s="1"/>
    </row>
    <row r="19" spans="1:15" customFormat="1" ht="18.75" customHeight="1" thickBot="1">
      <c r="A19" s="56" t="s">
        <v>8</v>
      </c>
      <c r="B19" s="55"/>
      <c r="C19" s="55"/>
      <c r="D19" s="55"/>
      <c r="E19" s="54"/>
      <c r="F19" s="53"/>
      <c r="G19" s="52"/>
      <c r="H19" s="51"/>
      <c r="I19" s="50">
        <f>+I18*12</f>
        <v>20592000</v>
      </c>
      <c r="J19" s="16"/>
      <c r="K19" s="1"/>
      <c r="L19" s="1"/>
      <c r="M19" s="1"/>
      <c r="N19" s="1"/>
      <c r="O19" s="1"/>
    </row>
    <row r="20" spans="1:15" customFormat="1" ht="18.75" customHeight="1">
      <c r="A20" s="49" t="s">
        <v>7</v>
      </c>
      <c r="B20" s="48"/>
      <c r="C20" s="48"/>
      <c r="D20" s="48"/>
      <c r="E20" s="47" t="s">
        <v>6</v>
      </c>
      <c r="F20" s="47" t="s">
        <v>5</v>
      </c>
      <c r="G20" s="46" t="s">
        <v>4</v>
      </c>
      <c r="H20" s="45"/>
      <c r="I20" s="44"/>
      <c r="J20" s="16"/>
      <c r="K20" s="1"/>
      <c r="L20" s="1"/>
      <c r="M20" s="1"/>
      <c r="N20" s="1"/>
      <c r="O20" s="1"/>
    </row>
    <row r="21" spans="1:15" customFormat="1" ht="15.75" thickBot="1">
      <c r="A21" s="43" t="s">
        <v>3</v>
      </c>
      <c r="B21" s="42"/>
      <c r="C21" s="42"/>
      <c r="D21" s="42"/>
      <c r="E21" s="41">
        <v>0</v>
      </c>
      <c r="F21" s="41">
        <f>E21*12</f>
        <v>0</v>
      </c>
      <c r="G21" s="40">
        <f>E21/F10</f>
        <v>0</v>
      </c>
      <c r="H21" s="39">
        <f>F21/I19</f>
        <v>0</v>
      </c>
      <c r="I21" s="38"/>
      <c r="J21" s="16"/>
      <c r="K21" s="1"/>
      <c r="L21" s="23"/>
      <c r="M21" s="1"/>
      <c r="N21" s="1"/>
      <c r="O21" s="23"/>
    </row>
    <row r="22" spans="1:15" customFormat="1" ht="18.75" customHeight="1">
      <c r="A22" s="37" t="s">
        <v>2</v>
      </c>
      <c r="B22" s="36"/>
      <c r="C22" s="36"/>
      <c r="D22" s="36"/>
      <c r="E22" s="35"/>
      <c r="F22" s="34"/>
      <c r="G22" s="33"/>
      <c r="H22" s="32">
        <v>0</v>
      </c>
      <c r="I22" s="31">
        <f>+I19*-H22</f>
        <v>0</v>
      </c>
      <c r="J22" s="16"/>
      <c r="K22" s="1"/>
      <c r="L22" s="1"/>
      <c r="M22" s="1"/>
      <c r="N22" s="1"/>
      <c r="O22" s="23"/>
    </row>
    <row r="23" spans="1:15" customFormat="1" ht="18.75" customHeight="1">
      <c r="A23" s="30" t="s">
        <v>1</v>
      </c>
      <c r="B23" s="29"/>
      <c r="C23" s="29"/>
      <c r="D23" s="29"/>
      <c r="E23" s="28"/>
      <c r="F23" s="27"/>
      <c r="G23" s="26"/>
      <c r="H23" s="25"/>
      <c r="I23" s="24">
        <f>I18</f>
        <v>1716000</v>
      </c>
      <c r="J23" s="16"/>
      <c r="K23" s="1"/>
      <c r="L23" s="1"/>
      <c r="M23" s="1"/>
      <c r="N23" s="1"/>
      <c r="O23" s="23"/>
    </row>
    <row r="24" spans="1:15" customFormat="1" ht="39" customHeight="1" thickBot="1">
      <c r="A24" s="22"/>
      <c r="B24" s="20"/>
      <c r="C24" s="20"/>
      <c r="D24" s="20"/>
      <c r="E24" s="21"/>
      <c r="F24" s="20"/>
      <c r="G24" s="19"/>
      <c r="H24" s="18"/>
      <c r="I24" s="17"/>
      <c r="J24" s="16"/>
      <c r="K24" s="1"/>
      <c r="L24" s="15"/>
      <c r="M24" s="1"/>
      <c r="N24" s="1"/>
      <c r="O24" s="1"/>
    </row>
    <row r="25" spans="1:15" customFormat="1" ht="15.75" thickTop="1">
      <c r="A25" s="11"/>
      <c r="B25" s="14"/>
      <c r="C25" s="14"/>
      <c r="D25" s="14"/>
      <c r="E25" s="14"/>
      <c r="F25" s="14"/>
      <c r="G25" s="13"/>
      <c r="H25" s="13"/>
      <c r="I25" s="12"/>
      <c r="J25" s="1"/>
      <c r="K25" s="1"/>
      <c r="L25" s="1"/>
      <c r="M25" s="1"/>
      <c r="N25" s="1"/>
      <c r="O25" s="1"/>
    </row>
    <row r="26" spans="1:15" customFormat="1">
      <c r="A26" s="11"/>
      <c r="B26" s="14"/>
      <c r="C26" s="14"/>
      <c r="D26" s="14"/>
      <c r="E26" s="14"/>
      <c r="F26" s="14"/>
      <c r="G26" s="13"/>
      <c r="H26" s="13"/>
      <c r="I26" s="12"/>
      <c r="J26" s="1"/>
      <c r="K26" s="1"/>
      <c r="L26" s="1"/>
      <c r="M26" s="1"/>
      <c r="N26" s="1"/>
      <c r="O26" s="1"/>
    </row>
    <row r="27" spans="1:15" customFormat="1">
      <c r="A27" s="11"/>
      <c r="B27" s="10"/>
      <c r="C27" s="10"/>
      <c r="D27" s="10"/>
      <c r="E27" s="9"/>
      <c r="F27" s="9"/>
      <c r="G27" s="4"/>
      <c r="H27" s="4"/>
      <c r="I27" s="8"/>
      <c r="J27" s="1"/>
      <c r="K27" s="1"/>
      <c r="L27" s="1"/>
      <c r="M27" s="1"/>
      <c r="N27" s="1"/>
      <c r="O27" s="1"/>
    </row>
    <row r="28" spans="1:15" customFormat="1">
      <c r="A28" s="2"/>
      <c r="B28" s="6"/>
      <c r="C28" s="6"/>
      <c r="D28" s="6"/>
      <c r="E28" s="1"/>
      <c r="F28" s="3"/>
      <c r="G28" s="4"/>
      <c r="H28" s="4"/>
      <c r="I28" s="8"/>
      <c r="J28" s="1"/>
      <c r="K28" s="1"/>
      <c r="L28" s="1"/>
      <c r="M28" s="1"/>
      <c r="N28" s="1"/>
      <c r="O28" s="1"/>
    </row>
    <row r="29" spans="1:15" customFormat="1">
      <c r="A29" s="2" t="s">
        <v>0</v>
      </c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</row>
    <row r="95" spans="6:8" s="1" customFormat="1">
      <c r="F95" s="3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2011-08-24T12:20:14Z</dcterms:created>
  <dcterms:modified xsi:type="dcterms:W3CDTF">2011-08-24T12:22:27Z</dcterms:modified>
</cp:coreProperties>
</file>