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6"/>
  <c r="I7"/>
  <c r="I8"/>
  <c r="F9"/>
  <c r="I9"/>
  <c r="G9" s="1"/>
  <c r="I13"/>
  <c r="I14"/>
  <c r="I16" s="1"/>
  <c r="I17" s="1"/>
  <c r="I18" s="1"/>
  <c r="I15"/>
  <c r="F16"/>
  <c r="E20"/>
  <c r="G20" s="1"/>
  <c r="I21" l="1"/>
  <c r="H20"/>
  <c r="I23"/>
  <c r="I24" l="1"/>
  <c r="I25" s="1"/>
  <c r="I22"/>
</calcChain>
</file>

<file path=xl/sharedStrings.xml><?xml version="1.0" encoding="utf-8"?>
<sst xmlns="http://schemas.openxmlformats.org/spreadsheetml/2006/main" count="38" uniqueCount="33">
  <si>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</si>
  <si>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</si>
  <si>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</si>
  <si>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</si>
  <si>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</si>
  <si>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</si>
  <si>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</si>
  <si>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</si>
  <si>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</si>
  <si>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</si>
  <si>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</si>
  <si>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</si>
  <si>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</si>
  <si>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</si>
  <si>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</si>
  <si>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</si>
  <si>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</si>
  <si>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Warehouse/Offices</t>
  </si>
  <si>
    <t>Other - unit 2 &amp; 3</t>
  </si>
  <si>
    <t>Group</t>
  </si>
  <si>
    <t>Buckle packaging - unit 1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</si>
  <si>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</si>
  <si>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</si>
  <si>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</si>
  <si>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</si>
  <si>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</si>
  <si>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</si>
  <si>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</si>
  <si>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</si>
  <si>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</si>
  <si>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</si>
  <si>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Bucpac Properties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</si>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</sst>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0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0"/>
  <sheetViews>
    <sheetView tabSelected="1" workbookViewId="0">
      <selection activeCell="F5" sqref="F5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8.8554687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1" t="s">
        <v>32</v>
      </c>
      <c r="B1" s="130" t="s">
        <v>31</v>
      </c>
      <c r="C1" s="130"/>
      <c r="D1" s="130"/>
      <c r="E1" s="128"/>
      <c r="F1" s="128"/>
      <c r="G1" s="129">
        <v>70025102</v>
      </c>
      <c r="H1" s="128"/>
      <c r="I1" s="127"/>
      <c r="J1" s="16"/>
    </row>
    <row r="2" spans="1:13" s="1" customFormat="1" ht="20.25" customHeight="1" thickBot="1">
      <c r="A2" s="126" t="s">
        <v>30</v>
      </c>
      <c r="B2" s="124"/>
      <c r="C2" s="124"/>
      <c r="D2" s="124"/>
      <c r="E2" s="125">
        <v>40731</v>
      </c>
      <c r="F2" s="124"/>
      <c r="G2" s="124"/>
      <c r="H2" s="124"/>
      <c r="I2" s="123"/>
      <c r="J2" s="16"/>
    </row>
    <row r="3" spans="1:13" s="1" customFormat="1" ht="63.75" customHeight="1" thickBot="1">
      <c r="A3" s="122" t="s">
        <v>29</v>
      </c>
      <c r="B3" s="121" t="s">
        <v>28</v>
      </c>
      <c r="C3" s="121" t="s">
        <v>27</v>
      </c>
      <c r="D3" s="121" t="s">
        <v>26</v>
      </c>
      <c r="E3" s="121" t="s">
        <v>25</v>
      </c>
      <c r="F3" s="120" t="s">
        <v>24</v>
      </c>
      <c r="G3" s="119" t="s">
        <v>23</v>
      </c>
      <c r="H3" s="118" t="s">
        <v>22</v>
      </c>
      <c r="I3" s="117" t="s">
        <v>21</v>
      </c>
      <c r="J3" s="16"/>
    </row>
    <row r="4" spans="1:13" s="1" customFormat="1">
      <c r="A4" s="115" t="s">
        <v>20</v>
      </c>
      <c r="B4" s="114" t="s">
        <v>17</v>
      </c>
      <c r="C4" s="109" t="s">
        <v>19</v>
      </c>
      <c r="D4" s="109" t="s">
        <v>19</v>
      </c>
      <c r="E4" s="109" t="s">
        <v>19</v>
      </c>
      <c r="F4" s="116">
        <v>1370</v>
      </c>
      <c r="G4" s="112">
        <v>45</v>
      </c>
      <c r="H4" s="111"/>
      <c r="I4" s="105">
        <f>G4*F4</f>
        <v>61650</v>
      </c>
      <c r="J4" s="16"/>
      <c r="L4" s="99"/>
      <c r="M4" s="98"/>
    </row>
    <row r="5" spans="1:13" s="1" customFormat="1">
      <c r="A5" s="115" t="s">
        <v>18</v>
      </c>
      <c r="B5" s="114" t="s">
        <v>17</v>
      </c>
      <c r="C5" s="109"/>
      <c r="D5" s="109">
        <v>3</v>
      </c>
      <c r="E5" s="109"/>
      <c r="F5" s="113">
        <v>2200</v>
      </c>
      <c r="G5" s="112">
        <v>45</v>
      </c>
      <c r="H5" s="111"/>
      <c r="I5" s="105">
        <f>G5*F5</f>
        <v>99000</v>
      </c>
      <c r="J5" s="16"/>
      <c r="K5" s="2"/>
      <c r="L5" s="99"/>
      <c r="M5" s="98"/>
    </row>
    <row r="6" spans="1:13" s="1" customFormat="1">
      <c r="A6" s="115"/>
      <c r="B6" s="114"/>
      <c r="C6" s="109"/>
      <c r="D6" s="109"/>
      <c r="E6" s="109"/>
      <c r="F6" s="113"/>
      <c r="G6" s="112"/>
      <c r="H6" s="111"/>
      <c r="I6" s="105">
        <f>G6*F6</f>
        <v>0</v>
      </c>
      <c r="J6" s="16"/>
      <c r="K6" s="2"/>
      <c r="L6" s="99"/>
      <c r="M6" s="98"/>
    </row>
    <row r="7" spans="1:13" s="1" customFormat="1">
      <c r="A7" s="115"/>
      <c r="B7" s="114"/>
      <c r="C7" s="109"/>
      <c r="D7" s="109"/>
      <c r="E7" s="109"/>
      <c r="F7" s="113"/>
      <c r="G7" s="112"/>
      <c r="H7" s="111"/>
      <c r="I7" s="105">
        <f>G7*F7</f>
        <v>0</v>
      </c>
      <c r="J7" s="16"/>
      <c r="K7" s="2"/>
      <c r="L7" s="99"/>
      <c r="M7" s="98"/>
    </row>
    <row r="8" spans="1:13" s="1" customFormat="1">
      <c r="A8" s="110"/>
      <c r="B8" s="82"/>
      <c r="C8" s="90"/>
      <c r="D8" s="109"/>
      <c r="E8" s="109"/>
      <c r="F8" s="108"/>
      <c r="G8" s="107"/>
      <c r="H8" s="106"/>
      <c r="I8" s="105">
        <f>G8*F8</f>
        <v>0</v>
      </c>
      <c r="J8" s="16"/>
      <c r="L8" s="99"/>
      <c r="M8" s="98"/>
    </row>
    <row r="9" spans="1:13" s="1" customFormat="1">
      <c r="A9" s="104" t="s">
        <v>5</v>
      </c>
      <c r="B9" s="103"/>
      <c r="C9" s="103"/>
      <c r="D9" s="103"/>
      <c r="E9" s="103"/>
      <c r="F9" s="102">
        <f>F4+F5+F6+F7+F8</f>
        <v>3570</v>
      </c>
      <c r="G9" s="101">
        <f>I9/F9</f>
        <v>45</v>
      </c>
      <c r="H9" s="100">
        <v>0</v>
      </c>
      <c r="I9" s="100">
        <f>SUM(I4:I8)</f>
        <v>160650</v>
      </c>
      <c r="J9" s="16"/>
      <c r="L9" s="99"/>
      <c r="M9" s="98"/>
    </row>
    <row r="10" spans="1:13" s="1" customFormat="1">
      <c r="A10" s="97"/>
      <c r="B10" s="96"/>
      <c r="C10" s="96"/>
      <c r="D10" s="96"/>
      <c r="E10" s="95"/>
      <c r="F10" s="94"/>
      <c r="G10" s="93"/>
      <c r="H10" s="79"/>
      <c r="I10" s="78"/>
      <c r="J10" s="16"/>
    </row>
    <row r="11" spans="1:13" s="1" customFormat="1">
      <c r="A11" s="92" t="s">
        <v>16</v>
      </c>
      <c r="B11" s="91"/>
      <c r="C11" s="91"/>
      <c r="D11" s="91"/>
      <c r="E11" s="90"/>
      <c r="F11" s="89" t="s">
        <v>15</v>
      </c>
      <c r="G11" s="88" t="s">
        <v>14</v>
      </c>
      <c r="H11" s="79"/>
      <c r="I11" s="78"/>
      <c r="J11" s="16"/>
    </row>
    <row r="12" spans="1:13" s="1" customFormat="1">
      <c r="A12" s="87"/>
      <c r="B12" s="86"/>
      <c r="C12" s="86"/>
      <c r="D12" s="86"/>
      <c r="E12" s="85"/>
      <c r="F12" s="81"/>
      <c r="G12" s="80"/>
      <c r="H12" s="79"/>
      <c r="I12" s="78"/>
      <c r="J12" s="16"/>
    </row>
    <row r="13" spans="1:13" s="1" customFormat="1">
      <c r="A13" s="87"/>
      <c r="B13" s="86"/>
      <c r="C13" s="86"/>
      <c r="D13" s="86"/>
      <c r="E13" s="85" t="s">
        <v>13</v>
      </c>
      <c r="F13" s="81"/>
      <c r="G13" s="80"/>
      <c r="H13" s="79"/>
      <c r="I13" s="78">
        <f>G13*F13</f>
        <v>0</v>
      </c>
      <c r="J13" s="16"/>
    </row>
    <row r="14" spans="1:13" s="1" customFormat="1">
      <c r="A14" s="87"/>
      <c r="B14" s="86"/>
      <c r="C14" s="86"/>
      <c r="D14" s="86"/>
      <c r="E14" s="85" t="s">
        <v>12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4"/>
      <c r="B15" s="83"/>
      <c r="C15" s="83"/>
      <c r="D15" s="83"/>
      <c r="E15" s="82"/>
      <c r="F15" s="81"/>
      <c r="G15" s="80"/>
      <c r="H15" s="79"/>
      <c r="I15" s="78">
        <f>G15*F15</f>
        <v>0</v>
      </c>
      <c r="J15" s="16"/>
    </row>
    <row r="16" spans="1:13" s="1" customFormat="1" ht="15.75" thickBot="1">
      <c r="A16" s="77" t="s">
        <v>5</v>
      </c>
      <c r="B16" s="76"/>
      <c r="C16" s="76"/>
      <c r="D16" s="76"/>
      <c r="E16" s="75"/>
      <c r="F16" s="74">
        <f>SUM(F12:F15)</f>
        <v>0</v>
      </c>
      <c r="G16" s="73"/>
      <c r="H16" s="72"/>
      <c r="I16" s="71">
        <f>SUM(I12:I15)</f>
        <v>0</v>
      </c>
      <c r="J16" s="16"/>
    </row>
    <row r="17" spans="1:15" s="1" customFormat="1" ht="18.75" customHeight="1" thickBot="1">
      <c r="A17" s="70" t="s">
        <v>11</v>
      </c>
      <c r="B17" s="69"/>
      <c r="C17" s="69"/>
      <c r="D17" s="69"/>
      <c r="E17" s="68"/>
      <c r="F17" s="67"/>
      <c r="G17" s="66"/>
      <c r="H17" s="61"/>
      <c r="I17" s="59">
        <f>+I16+I9</f>
        <v>160650</v>
      </c>
      <c r="J17" s="16"/>
      <c r="L17" s="32"/>
    </row>
    <row r="18" spans="1:15" s="1" customFormat="1" ht="18.75" customHeight="1" thickBot="1">
      <c r="A18" s="65" t="s">
        <v>10</v>
      </c>
      <c r="B18" s="64"/>
      <c r="C18" s="64"/>
      <c r="D18" s="64"/>
      <c r="E18" s="63"/>
      <c r="F18" s="62"/>
      <c r="G18" s="61"/>
      <c r="H18" s="60"/>
      <c r="I18" s="59">
        <f>+I17*12</f>
        <v>1927800</v>
      </c>
      <c r="J18" s="16"/>
    </row>
    <row r="19" spans="1:15" s="1" customFormat="1" ht="18.75" customHeight="1">
      <c r="A19" s="58" t="s">
        <v>9</v>
      </c>
      <c r="B19" s="57"/>
      <c r="C19" s="57"/>
      <c r="D19" s="57"/>
      <c r="E19" s="56" t="s">
        <v>8</v>
      </c>
      <c r="F19" s="56" t="s">
        <v>7</v>
      </c>
      <c r="G19" s="55" t="s">
        <v>6</v>
      </c>
      <c r="H19" s="54"/>
      <c r="I19" s="53"/>
      <c r="J19" s="16"/>
    </row>
    <row r="20" spans="1:15" s="1" customFormat="1" ht="15.75" thickBot="1">
      <c r="A20" s="52" t="s">
        <v>5</v>
      </c>
      <c r="B20" s="51"/>
      <c r="C20" s="51"/>
      <c r="D20" s="51"/>
      <c r="E20" s="50">
        <f>F20/12</f>
        <v>22820.61</v>
      </c>
      <c r="F20" s="50">
        <v>273847.32</v>
      </c>
      <c r="G20" s="49">
        <f>E20/F9</f>
        <v>6.3923277310924371</v>
      </c>
      <c r="H20" s="48">
        <f>F20/I18</f>
        <v>0.14205172735760971</v>
      </c>
      <c r="I20" s="47"/>
      <c r="J20" s="16"/>
      <c r="L20" s="32"/>
      <c r="O20" s="32"/>
    </row>
    <row r="21" spans="1:15" s="1" customFormat="1" ht="18.75" customHeight="1">
      <c r="A21" s="46" t="s">
        <v>4</v>
      </c>
      <c r="B21" s="45"/>
      <c r="C21" s="45"/>
      <c r="D21" s="45"/>
      <c r="E21" s="44"/>
      <c r="F21" s="43"/>
      <c r="G21" s="42"/>
      <c r="H21" s="41">
        <v>0.02</v>
      </c>
      <c r="I21" s="40">
        <f>+I18*-H21</f>
        <v>-38556</v>
      </c>
      <c r="J21" s="16"/>
      <c r="O21" s="32"/>
    </row>
    <row r="22" spans="1:15" s="1" customFormat="1" ht="18.75" customHeight="1">
      <c r="A22" s="39" t="s">
        <v>3</v>
      </c>
      <c r="B22" s="38"/>
      <c r="C22" s="38"/>
      <c r="D22" s="38"/>
      <c r="E22" s="37"/>
      <c r="F22" s="36"/>
      <c r="G22" s="35"/>
      <c r="H22" s="34"/>
      <c r="I22" s="33">
        <f>+I23/12</f>
        <v>134616.38999999998</v>
      </c>
      <c r="J22" s="16"/>
      <c r="O22" s="32"/>
    </row>
    <row r="23" spans="1:15" s="1" customFormat="1" ht="18.75" customHeight="1">
      <c r="A23" s="28" t="s">
        <v>2</v>
      </c>
      <c r="B23" s="26"/>
      <c r="C23" s="26"/>
      <c r="D23" s="26"/>
      <c r="E23" s="27"/>
      <c r="F23" s="27"/>
      <c r="G23" s="31"/>
      <c r="H23" s="24"/>
      <c r="I23" s="29">
        <f>+I18-F20+I21</f>
        <v>1615396.68</v>
      </c>
      <c r="J23" s="16"/>
    </row>
    <row r="24" spans="1:15" s="1" customFormat="1" ht="18.75" customHeight="1">
      <c r="A24" s="28" t="s">
        <v>1</v>
      </c>
      <c r="B24" s="26"/>
      <c r="C24" s="26"/>
      <c r="D24" s="26"/>
      <c r="E24" s="27"/>
      <c r="F24" s="27"/>
      <c r="G24" s="30"/>
      <c r="H24" s="24">
        <v>0.11</v>
      </c>
      <c r="I24" s="29">
        <f>+I23/H24</f>
        <v>14685424.363636363</v>
      </c>
      <c r="J24" s="16"/>
    </row>
    <row r="25" spans="1:15" s="1" customFormat="1" ht="18.75" customHeight="1">
      <c r="A25" s="28" t="s">
        <v>0</v>
      </c>
      <c r="B25" s="26"/>
      <c r="C25" s="26"/>
      <c r="D25" s="26"/>
      <c r="E25" s="27"/>
      <c r="F25" s="26"/>
      <c r="G25" s="25"/>
      <c r="H25" s="24"/>
      <c r="I25" s="23">
        <f>ROUND(I24,-4)</f>
        <v>14690000</v>
      </c>
      <c r="J25" s="16"/>
    </row>
    <row r="26" spans="1:15" s="1" customFormat="1" ht="39" customHeight="1" thickBot="1">
      <c r="A26" s="22"/>
      <c r="B26" s="20"/>
      <c r="C26" s="20"/>
      <c r="D26" s="20"/>
      <c r="E26" s="21"/>
      <c r="F26" s="20"/>
      <c r="G26" s="19"/>
      <c r="H26" s="18"/>
      <c r="I26" s="17"/>
      <c r="J26" s="16"/>
      <c r="L26" s="15"/>
    </row>
    <row r="27" spans="1:15" s="1" customFormat="1" ht="15.75" thickTop="1">
      <c r="A27" s="11"/>
      <c r="B27" s="14"/>
      <c r="C27" s="14"/>
      <c r="D27" s="14"/>
      <c r="E27" s="14"/>
      <c r="F27" s="14"/>
      <c r="G27" s="13"/>
      <c r="H27" s="13"/>
      <c r="I27" s="12"/>
    </row>
    <row r="28" spans="1:15" s="1" customFormat="1">
      <c r="A28" s="11"/>
      <c r="B28" s="14"/>
      <c r="C28" s="14"/>
      <c r="D28" s="14"/>
      <c r="E28" s="14"/>
      <c r="F28" s="14"/>
      <c r="G28" s="13"/>
      <c r="H28" s="13"/>
      <c r="I28" s="12"/>
    </row>
    <row r="29" spans="1:15" s="1" customFormat="1">
      <c r="A29" s="11"/>
      <c r="B29" s="10"/>
      <c r="C29" s="10"/>
      <c r="D29" s="10"/>
      <c r="E29" s="9"/>
      <c r="F29" s="9"/>
      <c r="G29" s="4"/>
      <c r="H29" s="4"/>
      <c r="I29" s="8"/>
    </row>
    <row r="30" spans="1:15" s="1" customFormat="1">
      <c r="A30" s="2"/>
      <c r="B30" s="6"/>
      <c r="C30" s="6"/>
      <c r="D30" s="6"/>
      <c r="F30" s="3"/>
      <c r="G30" s="4"/>
      <c r="H30" s="4"/>
      <c r="I30" s="8"/>
    </row>
    <row r="31" spans="1:15" s="1" customFormat="1">
      <c r="A31" s="2"/>
      <c r="B31" s="6"/>
      <c r="C31" s="6"/>
      <c r="D31" s="6"/>
      <c r="F31" s="3"/>
      <c r="G31" s="4"/>
      <c r="H31" s="4"/>
    </row>
    <row r="32" spans="1:15" s="1" customFormat="1">
      <c r="A32" s="2"/>
      <c r="B32" s="6"/>
      <c r="C32" s="6"/>
      <c r="D32" s="6"/>
      <c r="F32" s="3"/>
      <c r="G32" s="4"/>
      <c r="H32" s="4"/>
    </row>
    <row r="33" spans="2:8" s="1" customFormat="1">
      <c r="B33" s="7"/>
      <c r="C33" s="6"/>
      <c r="D33" s="6"/>
      <c r="F33" s="3"/>
      <c r="G33" s="4"/>
      <c r="H33" s="4"/>
    </row>
    <row r="34" spans="2:8" s="1" customFormat="1">
      <c r="B34" s="6"/>
      <c r="C34" s="6"/>
      <c r="D34" s="6"/>
      <c r="F34" s="3"/>
      <c r="G34" s="4"/>
      <c r="H34" s="4"/>
    </row>
    <row r="35" spans="2:8" s="1" customFormat="1">
      <c r="B35" s="5"/>
      <c r="C35" s="5"/>
      <c r="D35" s="5"/>
      <c r="F35" s="3"/>
      <c r="G35" s="4"/>
      <c r="H35" s="4"/>
    </row>
    <row r="36" spans="2:8" s="1" customFormat="1">
      <c r="B36" s="5"/>
      <c r="C36" s="5"/>
      <c r="D36" s="5"/>
      <c r="F36" s="3"/>
      <c r="G36" s="4"/>
      <c r="H36" s="4"/>
    </row>
    <row r="37" spans="2:8" s="1" customFormat="1">
      <c r="B37" s="5"/>
      <c r="C37" s="5"/>
      <c r="D37" s="5"/>
      <c r="F37" s="3"/>
      <c r="G37" s="4"/>
      <c r="H37" s="4"/>
    </row>
    <row r="38" spans="2:8" s="1" customFormat="1">
      <c r="B38" s="5"/>
      <c r="C38" s="5"/>
      <c r="D38" s="5"/>
      <c r="F38" s="3"/>
      <c r="G38" s="4"/>
      <c r="H38" s="4"/>
    </row>
    <row r="39" spans="2:8" s="1" customFormat="1">
      <c r="B39" s="5"/>
      <c r="C39" s="5"/>
      <c r="D39" s="5"/>
      <c r="F39" s="3"/>
      <c r="G39" s="4"/>
      <c r="H39" s="4"/>
    </row>
    <row r="40" spans="2:8" s="1" customFormat="1">
      <c r="B40" s="5"/>
      <c r="C40" s="5"/>
      <c r="D40" s="5"/>
      <c r="F40" s="3"/>
      <c r="G40" s="4"/>
      <c r="H40" s="4"/>
    </row>
    <row r="41" spans="2:8" s="1" customFormat="1">
      <c r="B41" s="5"/>
      <c r="C41" s="5"/>
      <c r="D41" s="5"/>
      <c r="F41" s="3"/>
      <c r="G41" s="4"/>
      <c r="H41" s="4"/>
    </row>
    <row r="42" spans="2:8" s="1" customFormat="1">
      <c r="F42" s="3"/>
      <c r="G42" s="4"/>
      <c r="H42" s="4"/>
    </row>
    <row r="43" spans="2:8" s="1" customFormat="1">
      <c r="F43" s="3"/>
      <c r="G43" s="4"/>
      <c r="H43" s="4"/>
    </row>
    <row r="44" spans="2:8" s="1" customFormat="1">
      <c r="F44" s="3"/>
      <c r="G44" s="4"/>
      <c r="H44" s="4"/>
    </row>
    <row r="45" spans="2:8" s="1" customFormat="1">
      <c r="F45" s="3"/>
      <c r="G45" s="4"/>
      <c r="H45" s="4"/>
    </row>
    <row r="46" spans="2:8" s="1" customFormat="1">
      <c r="F46" s="3"/>
      <c r="G46" s="4"/>
      <c r="H46" s="4"/>
    </row>
    <row r="47" spans="2:8" s="1" customFormat="1">
      <c r="F47" s="3"/>
      <c r="G47" s="4"/>
      <c r="H47" s="4"/>
    </row>
    <row r="48" spans="2:8" s="1" customFormat="1"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</sheetData>
  <pageMargins left="0.70866141732283472" right="0.70866141732283472" top="0.74803149606299213" bottom="0.74803149606299213" header="0.31496062992125984" footer="0.31496062992125984"/>
  <pageSetup scale="74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2011-08-24T11:44:19Z</dcterms:created>
  <dcterms:modified xsi:type="dcterms:W3CDTF">2011-08-24T11:49:42Z</dcterms:modified>
</cp:coreProperties>
</file>