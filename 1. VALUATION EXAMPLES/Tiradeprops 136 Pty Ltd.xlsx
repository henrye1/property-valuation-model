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F11"/>
  <c r="I11"/>
  <c r="G11" s="1"/>
  <c r="I15"/>
  <c r="I16"/>
  <c r="I18" s="1"/>
  <c r="I19" s="1"/>
  <c r="I20" s="1"/>
  <c r="F18"/>
  <c r="F22"/>
  <c r="H22" s="1"/>
  <c r="G22"/>
  <c r="I25" l="1"/>
  <c r="I23"/>
  <c r="I24" l="1"/>
  <c r="I26"/>
  <c r="I27" s="1"/>
  <c r="I28" s="1"/>
</calcChain>
</file>

<file path=xl/sharedStrings.xml><?xml version="1.0" encoding="utf-8"?>
<sst xmlns="http://schemas.openxmlformats.org/spreadsheetml/2006/main" count="37" uniqueCount="34">
  <si>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</si>
  <si>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</si>
  <si>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</si>
  <si>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</si>
  <si>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</si>
  <si>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</si>
  <si>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</si>
  <si>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</si>
  <si>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</si>
  <si>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</si>
  <si>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</si>
  <si>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</si>
  <si>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</si>
  <si>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</si>
  <si>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</si>
  <si>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</si>
  <si>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</si>
  <si>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</si>
  <si>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</si>
  <si>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</si>
  <si>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Offices</t>
  </si>
  <si>
    <t>Dept Public Works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</si>
  <si>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</si>
  <si>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</si>
  <si>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</si>
  <si>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</si>
  <si>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</si>
  <si>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</si>
  <si>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</si>
  <si>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</si>
  <si>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</si>
  <si>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</si>
  <si>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Tiradeprops 136 Pty Ltd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</si>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</sst>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A17" sqref="A17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33</v>
      </c>
      <c r="B1" s="129" t="s">
        <v>32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31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30</v>
      </c>
      <c r="B3" s="120" t="s">
        <v>29</v>
      </c>
      <c r="C3" s="120" t="s">
        <v>28</v>
      </c>
      <c r="D3" s="120" t="s">
        <v>27</v>
      </c>
      <c r="E3" s="120" t="s">
        <v>26</v>
      </c>
      <c r="F3" s="119" t="s">
        <v>25</v>
      </c>
      <c r="G3" s="118" t="s">
        <v>24</v>
      </c>
      <c r="H3" s="117" t="s">
        <v>23</v>
      </c>
      <c r="I3" s="116" t="s">
        <v>22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21</v>
      </c>
      <c r="B5" s="110" t="s">
        <v>20</v>
      </c>
      <c r="C5" s="102" t="s">
        <v>19</v>
      </c>
      <c r="D5" s="102" t="s">
        <v>18</v>
      </c>
      <c r="E5" s="109" t="s">
        <v>18</v>
      </c>
      <c r="F5" s="108">
        <v>16594</v>
      </c>
      <c r="G5" s="107">
        <v>60</v>
      </c>
      <c r="H5" s="106"/>
      <c r="I5" s="98">
        <f>G5*F5</f>
        <v>995640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5.75" thickBot="1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K10" s="1"/>
      <c r="L10" s="91"/>
      <c r="M10" s="90"/>
      <c r="N10" s="1"/>
      <c r="O10" s="1"/>
    </row>
    <row r="11" spans="1:15" customFormat="1">
      <c r="A11" s="97" t="s">
        <v>6</v>
      </c>
      <c r="B11" s="74"/>
      <c r="C11" s="96"/>
      <c r="D11" s="96"/>
      <c r="E11" s="96"/>
      <c r="F11" s="95">
        <f>SUM(F5:F10)</f>
        <v>16594</v>
      </c>
      <c r="G11" s="94">
        <f>I11/F11</f>
        <v>60</v>
      </c>
      <c r="H11" s="93">
        <v>0</v>
      </c>
      <c r="I11" s="92">
        <f>SUM(I5:I9)</f>
        <v>995640</v>
      </c>
      <c r="J11" s="14"/>
      <c r="K11" s="1"/>
      <c r="L11" s="91"/>
      <c r="M11" s="90"/>
      <c r="N11" s="1"/>
      <c r="O11" s="1"/>
    </row>
    <row r="12" spans="1:15" customFormat="1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995640</v>
      </c>
      <c r="J19" s="14"/>
      <c r="K19" s="1"/>
      <c r="L19" s="24"/>
      <c r="M19" s="1"/>
      <c r="N19" s="1"/>
      <c r="O19" s="1"/>
    </row>
    <row r="20" spans="1:15" customFormat="1" ht="18.75" customHeight="1" thickBot="1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11947680</v>
      </c>
      <c r="J20" s="14"/>
      <c r="K20" s="1"/>
      <c r="L20" s="1"/>
      <c r="M20" s="1"/>
      <c r="N20" s="1"/>
      <c r="O20" s="1"/>
    </row>
    <row r="21" spans="1:15" customFormat="1" ht="18.75" customHeight="1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>
      <c r="A22" s="44" t="s">
        <v>6</v>
      </c>
      <c r="B22" s="43"/>
      <c r="C22" s="43"/>
      <c r="D22" s="43"/>
      <c r="E22" s="42">
        <v>179215</v>
      </c>
      <c r="F22" s="42">
        <f>E22*12</f>
        <v>2150580</v>
      </c>
      <c r="G22" s="41">
        <f>E22/F11</f>
        <v>10.799987947450886</v>
      </c>
      <c r="H22" s="40">
        <f>F22/I20</f>
        <v>0.17999979912418143</v>
      </c>
      <c r="I22" s="39"/>
      <c r="J22" s="14"/>
      <c r="K22" s="1"/>
      <c r="L22" s="24"/>
      <c r="M22" s="1"/>
      <c r="N22" s="1"/>
      <c r="O22" s="24"/>
    </row>
    <row r="23" spans="1:15" customFormat="1" ht="18.75" customHeight="1">
      <c r="A23" s="38" t="s">
        <v>5</v>
      </c>
      <c r="B23" s="37"/>
      <c r="C23" s="37"/>
      <c r="D23" s="37"/>
      <c r="E23" s="36"/>
      <c r="F23" s="35"/>
      <c r="G23" s="34"/>
      <c r="H23" s="33">
        <v>2.5000000000000001E-2</v>
      </c>
      <c r="I23" s="32">
        <f>+I20*-H23</f>
        <v>-298692</v>
      </c>
      <c r="J23" s="14"/>
      <c r="K23" s="1"/>
      <c r="L23" s="1"/>
      <c r="M23" s="1"/>
      <c r="N23" s="1"/>
      <c r="O23" s="24"/>
    </row>
    <row r="24" spans="1:15" customFormat="1" ht="18.75" customHeight="1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791534</v>
      </c>
      <c r="J24" s="14"/>
      <c r="K24" s="1"/>
      <c r="L24" s="1"/>
      <c r="M24" s="1"/>
      <c r="N24" s="1"/>
      <c r="O24" s="24"/>
    </row>
    <row r="25" spans="1:15" customFormat="1" ht="18.75" customHeight="1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9498408</v>
      </c>
      <c r="J25" s="14"/>
      <c r="K25" s="1"/>
      <c r="L25" s="1"/>
      <c r="M25" s="1"/>
      <c r="N25" s="1"/>
      <c r="O25" s="1"/>
    </row>
    <row r="26" spans="1:15" customFormat="1" ht="18.75" customHeight="1">
      <c r="A26" s="20" t="s">
        <v>2</v>
      </c>
      <c r="B26" s="18"/>
      <c r="C26" s="18"/>
      <c r="D26" s="18"/>
      <c r="E26" s="19"/>
      <c r="F26" s="19"/>
      <c r="G26" s="22"/>
      <c r="H26" s="16">
        <v>0.12</v>
      </c>
      <c r="I26" s="21">
        <f>+I25/H26</f>
        <v>79153400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79150000</v>
      </c>
      <c r="J27" s="14"/>
      <c r="K27" s="1"/>
      <c r="L27" s="1"/>
      <c r="M27" s="1"/>
      <c r="N27" s="1"/>
      <c r="O27" s="1"/>
    </row>
    <row r="28" spans="1:15" customFormat="1" ht="16.5" thickBot="1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79150000</v>
      </c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s="1" customFormat="1">
      <c r="A93" s="2"/>
      <c r="F93" s="3"/>
      <c r="G93" s="4"/>
      <c r="H93" s="4"/>
    </row>
    <row r="94" spans="1:15" s="1" customFormat="1">
      <c r="A94" s="2"/>
      <c r="F94" s="3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2011-08-24T12:06:38Z</dcterms:created>
  <dcterms:modified xsi:type="dcterms:W3CDTF">2011-08-24T12:09:43Z</dcterms:modified>
</cp:coreProperties>
</file>