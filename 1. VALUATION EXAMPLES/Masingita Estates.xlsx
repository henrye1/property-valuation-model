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2" i="1" l="1"/>
  <c r="I4" i="1"/>
  <c r="K4" i="1"/>
  <c r="I5" i="1"/>
  <c r="I6" i="1"/>
  <c r="F9" i="1"/>
  <c r="I9" i="1"/>
  <c r="G9" i="1" s="1"/>
  <c r="I13" i="1"/>
  <c r="I14" i="1"/>
  <c r="K14" i="1"/>
  <c r="I15" i="1"/>
  <c r="K15" i="1" s="1"/>
  <c r="F16" i="1"/>
  <c r="E20" i="1"/>
  <c r="F20" i="1"/>
  <c r="G20" i="1"/>
  <c r="E34" i="1"/>
  <c r="I16" i="1" l="1"/>
  <c r="I17" i="1" s="1"/>
  <c r="I18" i="1" s="1"/>
  <c r="H20" i="1" s="1"/>
  <c r="I21" i="1" l="1"/>
  <c r="I23" i="1"/>
  <c r="I24" i="1" l="1"/>
  <c r="I22" i="1"/>
  <c r="E33" i="1" s="1"/>
  <c r="E37" i="1" s="1"/>
  <c r="I25" i="1" l="1"/>
  <c r="I26" i="1"/>
  <c r="B29" i="1" l="1"/>
  <c r="E31" i="1"/>
  <c r="E30" i="1" s="1"/>
  <c r="B30" i="1" s="1"/>
  <c r="B31" i="1" l="1"/>
</calcChain>
</file>

<file path=xl/sharedStrings.xml><?xml version="1.0" encoding="utf-8"?>
<sst xmlns="http://schemas.openxmlformats.org/spreadsheetml/2006/main" count="57" uniqueCount="46">
  <si>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</si>
  <si>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</si>
  <si>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</si>
  <si>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</si>
  <si>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</si>
  <si>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</si>
  <si>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</si>
  <si>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</si>
  <si>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</si>
  <si>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</si>
  <si>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Forced sale assessment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</si>
  <si>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</si>
  <si>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</si>
  <si>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</si>
  <si>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</si>
  <si>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</si>
  <si>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</si>
  <si>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</si>
  <si>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</si>
  <si>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</si>
  <si>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</si>
  <si>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</si>
  <si>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</si>
  <si>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</si>
  <si>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</si>
  <si>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</si>
  <si>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</si>
  <si>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</si>
  <si>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</si>
  <si>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31/12/2015</t>
  </si>
  <si>
    <t>5 years</t>
  </si>
  <si>
    <t>N/A</t>
  </si>
  <si>
    <t>CTI Head lease</t>
  </si>
  <si>
    <t>Student accomodation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</si>
  <si>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</si>
  <si>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</si>
  <si>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</si>
  <si>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</si>
  <si>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</si>
  <si>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</si>
  <si>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</si>
  <si>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</si>
  <si>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</si>
  <si>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</si>
  <si>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Masingita Estates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</si>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</sst>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68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30" xfId="0" applyNumberFormat="1" applyFont="1" applyBorder="1"/>
    <xf numFmtId="49" fontId="3" fillId="0" borderId="3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left" wrapText="1"/>
    </xf>
    <xf numFmtId="49" fontId="3" fillId="0" borderId="31" xfId="0" applyNumberFormat="1" applyFont="1" applyBorder="1" applyAlignment="1">
      <alignment horizontal="left" wrapText="1"/>
    </xf>
    <xf numFmtId="166" fontId="2" fillId="0" borderId="28" xfId="0" applyNumberFormat="1" applyFont="1" applyBorder="1"/>
    <xf numFmtId="9" fontId="2" fillId="0" borderId="30" xfId="1" applyFont="1" applyBorder="1"/>
    <xf numFmtId="164" fontId="2" fillId="0" borderId="30" xfId="0" applyNumberFormat="1" applyFont="1" applyBorder="1"/>
    <xf numFmtId="166" fontId="2" fillId="0" borderId="32" xfId="0" applyNumberFormat="1" applyFont="1" applyBorder="1"/>
    <xf numFmtId="10" fontId="3" fillId="3" borderId="33" xfId="1" applyNumberFormat="1" applyFont="1" applyFill="1" applyBorder="1"/>
    <xf numFmtId="9" fontId="2" fillId="0" borderId="34" xfId="1" applyFont="1" applyBorder="1"/>
    <xf numFmtId="49" fontId="2" fillId="0" borderId="34" xfId="0" applyNumberFormat="1" applyFont="1" applyBorder="1" applyAlignment="1">
      <alignment wrapText="1"/>
    </xf>
    <xf numFmtId="49" fontId="2" fillId="0" borderId="34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49" fontId="3" fillId="0" borderId="35" xfId="0" applyNumberFormat="1" applyFont="1" applyBorder="1" applyAlignment="1">
      <alignment horizontal="left" wrapText="1"/>
    </xf>
    <xf numFmtId="166" fontId="2" fillId="0" borderId="36" xfId="0" applyNumberFormat="1" applyFont="1" applyBorder="1"/>
    <xf numFmtId="10" fontId="3" fillId="3" borderId="37" xfId="1" applyNumberFormat="1" applyFont="1" applyFill="1" applyBorder="1"/>
    <xf numFmtId="9" fontId="2" fillId="0" borderId="38" xfId="1" applyFont="1" applyBorder="1"/>
    <xf numFmtId="49" fontId="2" fillId="0" borderId="38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49" fontId="3" fillId="0" borderId="39" xfId="0" applyNumberFormat="1" applyFont="1" applyBorder="1" applyAlignment="1">
      <alignment horizontal="left" wrapText="1"/>
    </xf>
    <xf numFmtId="166" fontId="2" fillId="0" borderId="40" xfId="0" applyNumberFormat="1" applyFont="1" applyBorder="1"/>
    <xf numFmtId="9" fontId="2" fillId="0" borderId="41" xfId="1" applyFont="1" applyBorder="1"/>
    <xf numFmtId="168" fontId="2" fillId="0" borderId="42" xfId="0" applyNumberFormat="1" applyFont="1" applyBorder="1" applyAlignment="1">
      <alignment horizontal="right" wrapText="1"/>
    </xf>
    <xf numFmtId="165" fontId="2" fillId="2" borderId="42" xfId="0" applyNumberFormat="1" applyFont="1" applyFill="1" applyBorder="1" applyAlignment="1">
      <alignment horizontal="right" wrapText="1"/>
    </xf>
    <xf numFmtId="49" fontId="2" fillId="0" borderId="43" xfId="0" applyNumberFormat="1" applyFont="1" applyBorder="1" applyAlignment="1">
      <alignment horizontal="left" wrapText="1"/>
    </xf>
    <xf numFmtId="49" fontId="2" fillId="0" borderId="44" xfId="0" applyNumberFormat="1" applyFont="1" applyBorder="1" applyAlignment="1">
      <alignment horizontal="left" wrapText="1"/>
    </xf>
    <xf numFmtId="166" fontId="2" fillId="0" borderId="45" xfId="0" applyNumberFormat="1" applyFont="1" applyBorder="1"/>
    <xf numFmtId="164" fontId="2" fillId="0" borderId="46" xfId="0" applyNumberFormat="1" applyFont="1" applyBorder="1"/>
    <xf numFmtId="10" fontId="3" fillId="0" borderId="47" xfId="1" applyNumberFormat="1" applyFont="1" applyBorder="1" applyAlignment="1">
      <alignment horizontal="center"/>
    </xf>
    <xf numFmtId="49" fontId="3" fillId="0" borderId="47" xfId="0" applyNumberFormat="1" applyFont="1" applyBorder="1" applyAlignment="1">
      <alignment horizontal="center" wrapText="1"/>
    </xf>
    <xf numFmtId="49" fontId="3" fillId="0" borderId="48" xfId="0" applyNumberFormat="1" applyFont="1" applyBorder="1" applyAlignment="1">
      <alignment horizontal="left" wrapText="1"/>
    </xf>
    <xf numFmtId="49" fontId="3" fillId="0" borderId="49" xfId="0" applyNumberFormat="1" applyFont="1" applyBorder="1" applyAlignment="1">
      <alignment horizontal="left" wrapText="1"/>
    </xf>
    <xf numFmtId="166" fontId="3" fillId="0" borderId="50" xfId="0" applyNumberFormat="1" applyFont="1" applyBorder="1"/>
    <xf numFmtId="14" fontId="3" fillId="0" borderId="51" xfId="0" applyNumberFormat="1" applyFont="1" applyBorder="1"/>
    <xf numFmtId="164" fontId="3" fillId="0" borderId="51" xfId="0" applyNumberFormat="1" applyFont="1" applyBorder="1"/>
    <xf numFmtId="49" fontId="3" fillId="0" borderId="52" xfId="0" applyNumberFormat="1" applyFont="1" applyBorder="1" applyAlignment="1">
      <alignment horizontal="centerContinuous" wrapText="1"/>
    </xf>
    <xf numFmtId="49" fontId="3" fillId="0" borderId="52" xfId="0" applyNumberFormat="1" applyFont="1" applyBorder="1" applyAlignment="1">
      <alignment horizontal="left" wrapText="1"/>
    </xf>
    <xf numFmtId="14" fontId="3" fillId="0" borderId="52" xfId="0" applyNumberFormat="1" applyFont="1" applyBorder="1"/>
    <xf numFmtId="14" fontId="3" fillId="0" borderId="53" xfId="0" applyNumberFormat="1" applyFont="1" applyBorder="1"/>
    <xf numFmtId="164" fontId="3" fillId="0" borderId="54" xfId="0" applyNumberFormat="1" applyFont="1" applyBorder="1"/>
    <xf numFmtId="1" fontId="3" fillId="0" borderId="51" xfId="0" applyNumberFormat="1" applyFont="1" applyBorder="1"/>
    <xf numFmtId="49" fontId="3" fillId="0" borderId="54" xfId="0" applyNumberFormat="1" applyFont="1" applyBorder="1" applyAlignment="1">
      <alignment horizontal="left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5" xfId="0" applyNumberFormat="1" applyFont="1" applyBorder="1" applyAlignment="1">
      <alignment horizontal="left" wrapText="1"/>
    </xf>
    <xf numFmtId="166" fontId="2" fillId="0" borderId="50" xfId="0" applyNumberFormat="1" applyFont="1" applyBorder="1"/>
    <xf numFmtId="164" fontId="2" fillId="0" borderId="51" xfId="0" applyNumberFormat="1" applyFont="1" applyBorder="1"/>
    <xf numFmtId="164" fontId="2" fillId="0" borderId="54" xfId="0" applyNumberFormat="1" applyFont="1" applyBorder="1"/>
    <xf numFmtId="1" fontId="2" fillId="0" borderId="51" xfId="0" applyNumberFormat="1" applyFont="1" applyBorder="1"/>
    <xf numFmtId="49" fontId="2" fillId="0" borderId="54" xfId="0" applyNumberFormat="1" applyFont="1" applyBorder="1" applyAlignment="1">
      <alignment horizontal="left" wrapText="1"/>
    </xf>
    <xf numFmtId="49" fontId="2" fillId="0" borderId="51" xfId="0" applyNumberFormat="1" applyFont="1" applyBorder="1" applyAlignment="1">
      <alignment horizontal="left" wrapText="1"/>
    </xf>
    <xf numFmtId="49" fontId="2" fillId="0" borderId="55" xfId="0" applyNumberFormat="1" applyFont="1" applyBorder="1" applyAlignment="1">
      <alignment horizontal="left" wrapText="1"/>
    </xf>
    <xf numFmtId="43" fontId="0" fillId="0" borderId="0" xfId="0" applyNumberFormat="1"/>
    <xf numFmtId="166" fontId="2" fillId="0" borderId="56" xfId="0" applyNumberFormat="1" applyFont="1" applyBorder="1"/>
    <xf numFmtId="164" fontId="2" fillId="0" borderId="0" xfId="0" applyNumberFormat="1" applyFont="1" applyBorder="1"/>
    <xf numFmtId="164" fontId="2" fillId="0" borderId="57" xfId="0" applyNumberFormat="1" applyFont="1" applyBorder="1"/>
    <xf numFmtId="1" fontId="2" fillId="0" borderId="0" xfId="0" applyNumberFormat="1" applyFont="1" applyBorder="1"/>
    <xf numFmtId="49" fontId="2" fillId="0" borderId="58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59" xfId="0" applyNumberFormat="1" applyFont="1" applyBorder="1" applyAlignment="1">
      <alignment horizontal="right" wrapText="1"/>
    </xf>
    <xf numFmtId="49" fontId="2" fillId="0" borderId="57" xfId="0" applyNumberFormat="1" applyFont="1" applyBorder="1" applyAlignment="1">
      <alignment horizontal="left" wrapText="1"/>
    </xf>
    <xf numFmtId="49" fontId="2" fillId="0" borderId="60" xfId="0" applyNumberFormat="1" applyFont="1" applyBorder="1" applyAlignment="1">
      <alignment horizontal="right" wrapText="1"/>
    </xf>
    <xf numFmtId="164" fontId="3" fillId="0" borderId="5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58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59" xfId="0" applyNumberFormat="1" applyFont="1" applyBorder="1" applyAlignment="1">
      <alignment horizontal="center" wrapText="1"/>
    </xf>
    <xf numFmtId="164" fontId="2" fillId="2" borderId="61" xfId="0" applyNumberFormat="1" applyFont="1" applyFill="1" applyBorder="1"/>
    <xf numFmtId="1" fontId="2" fillId="2" borderId="16" xfId="0" applyNumberFormat="1" applyFont="1" applyFill="1" applyBorder="1"/>
    <xf numFmtId="49" fontId="2" fillId="2" borderId="61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2" xfId="0" applyNumberFormat="1" applyFont="1" applyFill="1" applyBorder="1" applyAlignment="1">
      <alignment horizontal="left" wrapText="1"/>
    </xf>
    <xf numFmtId="165" fontId="2" fillId="0" borderId="63" xfId="0" applyNumberFormat="1" applyFont="1" applyBorder="1"/>
    <xf numFmtId="4" fontId="2" fillId="0" borderId="57" xfId="0" applyNumberFormat="1" applyFont="1" applyBorder="1"/>
    <xf numFmtId="3" fontId="2" fillId="0" borderId="16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62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58" xfId="0" applyNumberFormat="1" applyFont="1" applyBorder="1"/>
    <xf numFmtId="3" fontId="2" fillId="0" borderId="7" xfId="0" applyNumberFormat="1" applyFont="1" applyBorder="1"/>
    <xf numFmtId="49" fontId="2" fillId="0" borderId="57" xfId="0" applyNumberFormat="1" applyFont="1" applyBorder="1" applyAlignment="1">
      <alignment horizontal="center" wrapText="1"/>
    </xf>
    <xf numFmtId="49" fontId="2" fillId="0" borderId="59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60" xfId="0" applyNumberFormat="1" applyFont="1" applyBorder="1" applyAlignment="1">
      <alignment horizontal="left" wrapText="1"/>
    </xf>
    <xf numFmtId="49" fontId="5" fillId="0" borderId="57" xfId="0" applyNumberFormat="1" applyFont="1" applyBorder="1" applyAlignment="1">
      <alignment horizontal="left" wrapText="1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wrapText="1"/>
    </xf>
    <xf numFmtId="49" fontId="3" fillId="0" borderId="64" xfId="0" applyNumberFormat="1" applyFont="1" applyBorder="1" applyAlignment="1">
      <alignment horizontal="center" wrapText="1"/>
    </xf>
    <xf numFmtId="14" fontId="3" fillId="0" borderId="51" xfId="0" applyNumberFormat="1" applyFont="1" applyBorder="1" applyAlignment="1">
      <alignment horizontal="center" wrapText="1"/>
    </xf>
    <xf numFmtId="14" fontId="3" fillId="0" borderId="64" xfId="0" applyNumberFormat="1" applyFont="1" applyBorder="1" applyAlignment="1">
      <alignment horizontal="center" wrapText="1"/>
    </xf>
    <xf numFmtId="14" fontId="3" fillId="0" borderId="55" xfId="0" applyNumberFormat="1" applyFont="1" applyBorder="1" applyAlignment="1">
      <alignment horizontal="center"/>
    </xf>
    <xf numFmtId="14" fontId="2" fillId="0" borderId="65" xfId="0" applyNumberFormat="1" applyFont="1" applyBorder="1"/>
    <xf numFmtId="14" fontId="2" fillId="0" borderId="51" xfId="0" applyNumberFormat="1" applyFont="1" applyBorder="1"/>
    <xf numFmtId="15" fontId="2" fillId="0" borderId="51" xfId="0" applyNumberFormat="1" applyFont="1" applyBorder="1"/>
    <xf numFmtId="14" fontId="2" fillId="0" borderId="55" xfId="0" applyNumberFormat="1" applyFont="1" applyBorder="1"/>
    <xf numFmtId="14" fontId="2" fillId="0" borderId="66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6" fillId="0" borderId="21" xfId="0" applyNumberFormat="1" applyFont="1" applyBorder="1"/>
    <xf numFmtId="14" fontId="6" fillId="0" borderId="67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K190"/>
  <sheetViews>
    <sheetView tabSelected="1" workbookViewId="0">
      <selection activeCell="B1" sqref="B1"/>
    </sheetView>
  </sheetViews>
  <sheetFormatPr defaultRowHeight="15" x14ac:dyDescent="0.2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10" width="9.140625" style="1"/>
    <col min="11" max="11" width="11" style="1" bestFit="1" customWidth="1"/>
    <col min="12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1" ht="30.75" customHeight="1" thickTop="1" x14ac:dyDescent="0.25">
      <c r="A1" s="161" t="s">
        <v>45</v>
      </c>
      <c r="B1" s="160" t="s">
        <v>44</v>
      </c>
      <c r="C1" s="160"/>
      <c r="D1" s="160"/>
      <c r="E1" s="158"/>
      <c r="F1" s="158"/>
      <c r="G1" s="159">
        <v>70003879</v>
      </c>
      <c r="H1" s="158"/>
      <c r="I1" s="157"/>
      <c r="J1" s="52"/>
    </row>
    <row r="2" spans="1:11" ht="20.25" customHeight="1" thickBot="1" x14ac:dyDescent="0.3">
      <c r="A2" s="156" t="s">
        <v>43</v>
      </c>
      <c r="B2" s="154"/>
      <c r="C2" s="154"/>
      <c r="D2" s="154"/>
      <c r="E2" s="155">
        <f ca="1">TODAY()</f>
        <v>40779</v>
      </c>
      <c r="F2" s="154"/>
      <c r="G2" s="154"/>
      <c r="H2" s="154"/>
      <c r="I2" s="153"/>
      <c r="J2" s="52"/>
    </row>
    <row r="3" spans="1:11" ht="63.75" customHeight="1" thickBot="1" x14ac:dyDescent="0.3">
      <c r="A3" s="152" t="s">
        <v>42</v>
      </c>
      <c r="B3" s="151" t="s">
        <v>41</v>
      </c>
      <c r="C3" s="151" t="s">
        <v>40</v>
      </c>
      <c r="D3" s="151" t="s">
        <v>39</v>
      </c>
      <c r="E3" s="151" t="s">
        <v>38</v>
      </c>
      <c r="F3" s="150" t="s">
        <v>37</v>
      </c>
      <c r="G3" s="149" t="s">
        <v>36</v>
      </c>
      <c r="H3" s="148" t="s">
        <v>35</v>
      </c>
      <c r="I3" s="147" t="s">
        <v>34</v>
      </c>
      <c r="J3" s="52"/>
    </row>
    <row r="4" spans="1:11" ht="24.75" x14ac:dyDescent="0.25">
      <c r="A4" s="145" t="s">
        <v>33</v>
      </c>
      <c r="B4" s="146" t="s">
        <v>32</v>
      </c>
      <c r="C4" s="141" t="s">
        <v>31</v>
      </c>
      <c r="D4" s="141" t="s">
        <v>30</v>
      </c>
      <c r="E4" s="141" t="s">
        <v>29</v>
      </c>
      <c r="F4" s="144">
        <v>350</v>
      </c>
      <c r="G4" s="134">
        <v>825.15</v>
      </c>
      <c r="H4" s="143"/>
      <c r="I4" s="114">
        <f>G4*F4</f>
        <v>288802.5</v>
      </c>
      <c r="J4" s="52"/>
      <c r="K4" s="113">
        <f>I4*12</f>
        <v>3465630</v>
      </c>
    </row>
    <row r="5" spans="1:11" ht="24.75" x14ac:dyDescent="0.25">
      <c r="A5" s="145" t="s">
        <v>33</v>
      </c>
      <c r="B5" s="146" t="s">
        <v>32</v>
      </c>
      <c r="C5" s="141" t="s">
        <v>31</v>
      </c>
      <c r="D5" s="141" t="s">
        <v>30</v>
      </c>
      <c r="E5" s="141" t="s">
        <v>29</v>
      </c>
      <c r="F5" s="144">
        <v>256</v>
      </c>
      <c r="G5" s="134">
        <v>825.15</v>
      </c>
      <c r="H5" s="143"/>
      <c r="I5" s="114">
        <f>G5*F5</f>
        <v>211238.39999999999</v>
      </c>
      <c r="J5" s="52"/>
      <c r="K5" s="113"/>
    </row>
    <row r="6" spans="1:11" x14ac:dyDescent="0.25">
      <c r="A6" s="145"/>
      <c r="B6" s="146"/>
      <c r="C6" s="141"/>
      <c r="D6" s="141"/>
      <c r="E6" s="141"/>
      <c r="F6" s="144"/>
      <c r="G6" s="134"/>
      <c r="H6" s="143"/>
      <c r="I6" s="114">
        <f>G6*F6</f>
        <v>0</v>
      </c>
      <c r="J6" s="52"/>
    </row>
    <row r="7" spans="1:11" x14ac:dyDescent="0.25">
      <c r="A7" s="145"/>
      <c r="B7" s="121"/>
      <c r="C7" s="141"/>
      <c r="D7" s="141"/>
      <c r="E7" s="141"/>
      <c r="F7" s="144"/>
      <c r="G7" s="134"/>
      <c r="H7" s="143"/>
      <c r="I7" s="114"/>
      <c r="J7" s="52"/>
    </row>
    <row r="8" spans="1:11" x14ac:dyDescent="0.25">
      <c r="A8" s="142" t="s">
        <v>28</v>
      </c>
      <c r="B8" s="118" t="s">
        <v>28</v>
      </c>
      <c r="C8" s="125" t="s">
        <v>28</v>
      </c>
      <c r="D8" s="141" t="s">
        <v>28</v>
      </c>
      <c r="E8" s="141" t="s">
        <v>28</v>
      </c>
      <c r="F8" s="140"/>
      <c r="G8" s="139"/>
      <c r="H8" s="138"/>
      <c r="I8" s="114"/>
      <c r="J8" s="52"/>
    </row>
    <row r="9" spans="1:11" x14ac:dyDescent="0.25">
      <c r="A9" s="137" t="s">
        <v>16</v>
      </c>
      <c r="B9" s="136"/>
      <c r="C9" s="136"/>
      <c r="D9" s="136"/>
      <c r="E9" s="136"/>
      <c r="F9" s="135">
        <f>SUM(F4:F8)</f>
        <v>606</v>
      </c>
      <c r="G9" s="134">
        <f>I9/F9-H9</f>
        <v>825.15000000000009</v>
      </c>
      <c r="H9" s="133">
        <v>0</v>
      </c>
      <c r="I9" s="133">
        <f>SUM(I4:I8)</f>
        <v>500040.9</v>
      </c>
      <c r="J9" s="52"/>
    </row>
    <row r="10" spans="1:11" x14ac:dyDescent="0.25">
      <c r="A10" s="132"/>
      <c r="B10" s="131"/>
      <c r="C10" s="131"/>
      <c r="D10" s="131"/>
      <c r="E10" s="130"/>
      <c r="F10" s="129"/>
      <c r="G10" s="128"/>
      <c r="H10" s="115"/>
      <c r="I10" s="114"/>
      <c r="J10" s="52"/>
    </row>
    <row r="11" spans="1:11" x14ac:dyDescent="0.25">
      <c r="A11" s="127" t="s">
        <v>27</v>
      </c>
      <c r="B11" s="126"/>
      <c r="C11" s="126"/>
      <c r="D11" s="126"/>
      <c r="E11" s="125"/>
      <c r="F11" s="124" t="s">
        <v>26</v>
      </c>
      <c r="G11" s="123" t="s">
        <v>25</v>
      </c>
      <c r="H11" s="115"/>
      <c r="I11" s="114"/>
      <c r="J11" s="52"/>
    </row>
    <row r="12" spans="1:11" x14ac:dyDescent="0.25">
      <c r="A12" s="122"/>
      <c r="B12" s="35"/>
      <c r="C12" s="35"/>
      <c r="D12" s="35"/>
      <c r="E12" s="121"/>
      <c r="F12" s="117"/>
      <c r="G12" s="116"/>
      <c r="H12" s="115"/>
      <c r="I12" s="114"/>
      <c r="J12" s="52"/>
    </row>
    <row r="13" spans="1:11" x14ac:dyDescent="0.25">
      <c r="A13" s="122"/>
      <c r="B13" s="35"/>
      <c r="C13" s="35"/>
      <c r="D13" s="35"/>
      <c r="E13" s="121" t="s">
        <v>24</v>
      </c>
      <c r="F13" s="117"/>
      <c r="G13" s="116"/>
      <c r="H13" s="115"/>
      <c r="I13" s="114">
        <f>G13*F13</f>
        <v>0</v>
      </c>
      <c r="J13" s="52"/>
    </row>
    <row r="14" spans="1:11" x14ac:dyDescent="0.25">
      <c r="A14" s="122"/>
      <c r="B14" s="35"/>
      <c r="C14" s="35"/>
      <c r="D14" s="35"/>
      <c r="E14" s="121" t="s">
        <v>23</v>
      </c>
      <c r="F14" s="117"/>
      <c r="G14" s="116"/>
      <c r="H14" s="115"/>
      <c r="I14" s="114">
        <f>G14*F14</f>
        <v>0</v>
      </c>
      <c r="J14" s="52"/>
      <c r="K14" s="113">
        <f>I14*12</f>
        <v>0</v>
      </c>
    </row>
    <row r="15" spans="1:11" x14ac:dyDescent="0.25">
      <c r="A15" s="120"/>
      <c r="B15" s="119"/>
      <c r="C15" s="119"/>
      <c r="D15" s="119"/>
      <c r="E15" s="118" t="s">
        <v>22</v>
      </c>
      <c r="F15" s="117">
        <v>0</v>
      </c>
      <c r="G15" s="116">
        <v>0</v>
      </c>
      <c r="H15" s="115"/>
      <c r="I15" s="114">
        <f>G15*F15</f>
        <v>0</v>
      </c>
      <c r="J15" s="52"/>
      <c r="K15" s="113">
        <f>I15*12</f>
        <v>0</v>
      </c>
    </row>
    <row r="16" spans="1:11" ht="15.75" thickBot="1" x14ac:dyDescent="0.3">
      <c r="A16" s="112" t="s">
        <v>16</v>
      </c>
      <c r="B16" s="111"/>
      <c r="C16" s="111"/>
      <c r="D16" s="111"/>
      <c r="E16" s="110"/>
      <c r="F16" s="109">
        <f>SUM(F12:F15)</f>
        <v>0</v>
      </c>
      <c r="G16" s="108"/>
      <c r="H16" s="107"/>
      <c r="I16" s="106">
        <f>SUM(I13:I15)</f>
        <v>0</v>
      </c>
      <c r="J16" s="52"/>
    </row>
    <row r="17" spans="1:10" ht="18.75" customHeight="1" thickBot="1" x14ac:dyDescent="0.3">
      <c r="A17" s="105" t="s">
        <v>21</v>
      </c>
      <c r="B17" s="104"/>
      <c r="C17" s="104"/>
      <c r="D17" s="104"/>
      <c r="E17" s="103"/>
      <c r="F17" s="102"/>
      <c r="G17" s="101"/>
      <c r="H17" s="96"/>
      <c r="I17" s="94">
        <f>+I16+I9</f>
        <v>500040.9</v>
      </c>
      <c r="J17" s="52"/>
    </row>
    <row r="18" spans="1:10" ht="18.75" customHeight="1" thickBot="1" x14ac:dyDescent="0.3">
      <c r="A18" s="100" t="s">
        <v>20</v>
      </c>
      <c r="B18" s="99"/>
      <c r="C18" s="99"/>
      <c r="D18" s="99"/>
      <c r="E18" s="98"/>
      <c r="F18" s="97"/>
      <c r="G18" s="96"/>
      <c r="H18" s="95"/>
      <c r="I18" s="94">
        <f>+I17*12</f>
        <v>6000490.8000000007</v>
      </c>
      <c r="J18" s="52"/>
    </row>
    <row r="19" spans="1:10" ht="18.75" customHeight="1" x14ac:dyDescent="0.25">
      <c r="A19" s="93" t="s">
        <v>19</v>
      </c>
      <c r="B19" s="92"/>
      <c r="C19" s="92"/>
      <c r="D19" s="92"/>
      <c r="E19" s="91"/>
      <c r="F19" s="91" t="s">
        <v>18</v>
      </c>
      <c r="G19" s="90" t="s">
        <v>17</v>
      </c>
      <c r="H19" s="89"/>
      <c r="I19" s="88"/>
      <c r="J19" s="52"/>
    </row>
    <row r="20" spans="1:10" ht="15.75" thickBot="1" x14ac:dyDescent="0.3">
      <c r="A20" s="87" t="s">
        <v>16</v>
      </c>
      <c r="B20" s="86"/>
      <c r="C20" s="86"/>
      <c r="D20" s="86"/>
      <c r="E20" s="85">
        <f>179402/12</f>
        <v>14950.166666666666</v>
      </c>
      <c r="F20" s="85">
        <f>E20*12</f>
        <v>179402</v>
      </c>
      <c r="G20" s="84">
        <f>E20/F9</f>
        <v>24.67024202420242</v>
      </c>
      <c r="H20" s="83">
        <f>F20/I18</f>
        <v>2.9897887686120606E-2</v>
      </c>
      <c r="I20" s="82"/>
      <c r="J20" s="52"/>
    </row>
    <row r="21" spans="1:10" ht="18.75" customHeight="1" x14ac:dyDescent="0.25">
      <c r="A21" s="81" t="s">
        <v>15</v>
      </c>
      <c r="B21" s="80"/>
      <c r="C21" s="80"/>
      <c r="D21" s="80"/>
      <c r="E21" s="79"/>
      <c r="F21" s="78"/>
      <c r="G21" s="77"/>
      <c r="H21" s="76">
        <v>0.03</v>
      </c>
      <c r="I21" s="75">
        <f>+I18*-H21</f>
        <v>-180014.72400000002</v>
      </c>
      <c r="J21" s="52"/>
    </row>
    <row r="22" spans="1:10" ht="18.75" customHeight="1" x14ac:dyDescent="0.25">
      <c r="A22" s="74" t="s">
        <v>14</v>
      </c>
      <c r="B22" s="73"/>
      <c r="C22" s="73"/>
      <c r="D22" s="73"/>
      <c r="E22" s="72"/>
      <c r="F22" s="71"/>
      <c r="G22" s="70"/>
      <c r="H22" s="69"/>
      <c r="I22" s="68">
        <f>+I23/12</f>
        <v>470089.50633333338</v>
      </c>
      <c r="J22" s="52"/>
    </row>
    <row r="23" spans="1:10" ht="18.75" customHeight="1" x14ac:dyDescent="0.25">
      <c r="A23" s="64" t="s">
        <v>13</v>
      </c>
      <c r="B23" s="62"/>
      <c r="C23" s="62"/>
      <c r="D23" s="62"/>
      <c r="E23" s="63"/>
      <c r="F23" s="63"/>
      <c r="G23" s="67"/>
      <c r="H23" s="60"/>
      <c r="I23" s="65">
        <f>+I18-F20+I21</f>
        <v>5641074.0760000004</v>
      </c>
      <c r="J23" s="52"/>
    </row>
    <row r="24" spans="1:10" ht="18.75" customHeight="1" x14ac:dyDescent="0.25">
      <c r="A24" s="64" t="s">
        <v>12</v>
      </c>
      <c r="B24" s="62"/>
      <c r="C24" s="62"/>
      <c r="D24" s="62"/>
      <c r="E24" s="63"/>
      <c r="F24" s="63"/>
      <c r="G24" s="66"/>
      <c r="H24" s="60">
        <v>0.11</v>
      </c>
      <c r="I24" s="65">
        <f>+I23/H24</f>
        <v>51282491.600000001</v>
      </c>
      <c r="J24" s="52"/>
    </row>
    <row r="25" spans="1:10" ht="18.75" customHeight="1" x14ac:dyDescent="0.25">
      <c r="A25" s="64" t="s">
        <v>11</v>
      </c>
      <c r="B25" s="62"/>
      <c r="C25" s="62"/>
      <c r="D25" s="62"/>
      <c r="E25" s="63"/>
      <c r="F25" s="62"/>
      <c r="G25" s="61"/>
      <c r="H25" s="60"/>
      <c r="I25" s="59">
        <f>ROUND(I24,-4)</f>
        <v>51280000</v>
      </c>
      <c r="J25" s="52"/>
    </row>
    <row r="26" spans="1:10" ht="18.75" customHeight="1" thickBot="1" x14ac:dyDescent="0.3">
      <c r="A26" s="58" t="s">
        <v>10</v>
      </c>
      <c r="B26" s="56"/>
      <c r="C26" s="56"/>
      <c r="D26" s="56"/>
      <c r="E26" s="57"/>
      <c r="F26" s="56"/>
      <c r="G26" s="55"/>
      <c r="H26" s="54">
        <v>0.7</v>
      </c>
      <c r="I26" s="53">
        <f>ROUND(I24*H26,-4)</f>
        <v>35900000</v>
      </c>
      <c r="J26" s="52"/>
    </row>
    <row r="27" spans="1:10" ht="15.75" thickTop="1" x14ac:dyDescent="0.25">
      <c r="A27" s="12"/>
      <c r="B27" s="12"/>
      <c r="C27" s="12"/>
      <c r="D27" s="12"/>
      <c r="E27" s="12"/>
      <c r="F27" s="12"/>
      <c r="G27" s="11"/>
      <c r="H27" s="11"/>
      <c r="I27" s="10"/>
    </row>
    <row r="28" spans="1:10" ht="15.75" thickBot="1" x14ac:dyDescent="0.3">
      <c r="A28" s="12"/>
      <c r="B28" s="12"/>
      <c r="C28" s="12"/>
      <c r="D28" s="12"/>
      <c r="E28" s="12"/>
      <c r="F28" s="12"/>
      <c r="G28" s="11"/>
      <c r="H28" s="11"/>
      <c r="I28" s="10"/>
    </row>
    <row r="29" spans="1:10" ht="15.75" thickTop="1" x14ac:dyDescent="0.25">
      <c r="A29" s="51" t="s">
        <v>9</v>
      </c>
      <c r="B29" s="50">
        <f>+E29/I25</f>
        <v>2.7301092043681748E-2</v>
      </c>
      <c r="C29" s="49"/>
      <c r="D29" s="48"/>
      <c r="E29" s="47">
        <v>1400000</v>
      </c>
      <c r="F29" s="12"/>
      <c r="G29" s="11"/>
      <c r="H29" s="11"/>
      <c r="I29" s="10"/>
    </row>
    <row r="30" spans="1:10" x14ac:dyDescent="0.25">
      <c r="A30" s="46" t="s">
        <v>8</v>
      </c>
      <c r="B30" s="45">
        <f>+E30/I25</f>
        <v>0.9726989079563183</v>
      </c>
      <c r="C30" s="44"/>
      <c r="D30" s="43"/>
      <c r="E30" s="42">
        <f>E31 - E29</f>
        <v>49880000</v>
      </c>
      <c r="F30" s="12"/>
      <c r="G30" s="11"/>
      <c r="H30" s="11"/>
      <c r="I30" s="10"/>
    </row>
    <row r="31" spans="1:10" x14ac:dyDescent="0.25">
      <c r="A31" s="41" t="s">
        <v>7</v>
      </c>
      <c r="B31" s="40">
        <f>SUM(B29:B30)</f>
        <v>1</v>
      </c>
      <c r="C31" s="39"/>
      <c r="D31" s="38"/>
      <c r="E31" s="37">
        <f>I25</f>
        <v>51280000</v>
      </c>
      <c r="F31" s="12"/>
      <c r="G31" s="11"/>
      <c r="H31" s="11"/>
      <c r="I31" s="10"/>
    </row>
    <row r="32" spans="1:10" x14ac:dyDescent="0.25">
      <c r="A32" s="32"/>
      <c r="B32" s="31"/>
      <c r="C32" s="36"/>
      <c r="D32" s="35"/>
      <c r="E32" s="34"/>
      <c r="F32" s="12"/>
      <c r="G32" s="11"/>
      <c r="H32" s="11"/>
      <c r="I32" s="10"/>
    </row>
    <row r="33" spans="1:9" x14ac:dyDescent="0.25">
      <c r="A33" s="32" t="s">
        <v>6</v>
      </c>
      <c r="B33" s="31"/>
      <c r="C33" s="30"/>
      <c r="D33" s="29"/>
      <c r="E33" s="33">
        <f>+I22</f>
        <v>470089.50633333338</v>
      </c>
      <c r="F33" s="12"/>
      <c r="G33" s="11"/>
      <c r="H33" s="11"/>
      <c r="I33" s="10"/>
    </row>
    <row r="34" spans="1:9" x14ac:dyDescent="0.25">
      <c r="A34" s="32" t="s">
        <v>5</v>
      </c>
      <c r="B34" s="31"/>
      <c r="C34" s="30"/>
      <c r="D34" s="29"/>
      <c r="E34" s="28">
        <f>PMT(B36/12,B35*12,E29)</f>
        <v>-19683.362157057247</v>
      </c>
      <c r="F34" s="12"/>
      <c r="G34" s="11"/>
      <c r="H34" s="11"/>
      <c r="I34" s="10"/>
    </row>
    <row r="35" spans="1:9" x14ac:dyDescent="0.25">
      <c r="A35" s="27" t="s">
        <v>4</v>
      </c>
      <c r="B35" s="26">
        <v>10</v>
      </c>
      <c r="C35" s="25" t="s">
        <v>3</v>
      </c>
      <c r="D35" s="24"/>
      <c r="E35" s="23"/>
      <c r="F35" s="12"/>
      <c r="G35" s="11"/>
      <c r="H35" s="11"/>
      <c r="I35" s="10"/>
    </row>
    <row r="36" spans="1:9" x14ac:dyDescent="0.25">
      <c r="A36" s="22" t="s">
        <v>2</v>
      </c>
      <c r="B36" s="21">
        <v>0.115</v>
      </c>
      <c r="C36" s="20" t="s">
        <v>1</v>
      </c>
      <c r="D36" s="19"/>
      <c r="E36" s="18"/>
      <c r="F36" s="12"/>
      <c r="G36" s="11"/>
      <c r="H36" s="11"/>
      <c r="I36" s="10"/>
    </row>
    <row r="37" spans="1:9" ht="15.75" thickBot="1" x14ac:dyDescent="0.3">
      <c r="A37" s="17" t="s">
        <v>0</v>
      </c>
      <c r="B37" s="16"/>
      <c r="C37" s="15"/>
      <c r="D37" s="14"/>
      <c r="E37" s="13">
        <f>SUM(E33:E36)</f>
        <v>450406.14417627611</v>
      </c>
      <c r="F37" s="12"/>
      <c r="G37" s="11"/>
      <c r="H37" s="11"/>
      <c r="I37" s="10"/>
    </row>
    <row r="38" spans="1:9" ht="15.75" thickTop="1" x14ac:dyDescent="0.25">
      <c r="A38" s="8"/>
      <c r="B38" s="9"/>
      <c r="C38" s="9"/>
      <c r="D38" s="9"/>
      <c r="E38" s="8"/>
      <c r="F38" s="8"/>
      <c r="G38" s="3"/>
      <c r="H38" s="3"/>
      <c r="I38" s="7"/>
    </row>
    <row r="39" spans="1:9" x14ac:dyDescent="0.25">
      <c r="A39" s="8"/>
      <c r="B39" s="9"/>
      <c r="C39" s="9"/>
      <c r="D39" s="9"/>
      <c r="E39" s="8"/>
      <c r="F39" s="8"/>
      <c r="G39" s="3"/>
      <c r="H39" s="3"/>
      <c r="I39" s="7"/>
    </row>
    <row r="40" spans="1:9" x14ac:dyDescent="0.25">
      <c r="B40" s="5"/>
      <c r="C40" s="5"/>
      <c r="D40" s="5"/>
      <c r="F40" s="2"/>
      <c r="G40" s="3"/>
      <c r="H40" s="3"/>
      <c r="I40" s="7"/>
    </row>
    <row r="41" spans="1:9" x14ac:dyDescent="0.25">
      <c r="B41" s="5"/>
      <c r="C41" s="5"/>
      <c r="D41" s="5"/>
      <c r="F41" s="2"/>
      <c r="G41" s="3"/>
      <c r="H41" s="3"/>
    </row>
    <row r="42" spans="1:9" x14ac:dyDescent="0.25">
      <c r="B42" s="5"/>
      <c r="C42" s="5"/>
      <c r="D42" s="5"/>
      <c r="F42" s="2"/>
      <c r="G42" s="3"/>
      <c r="H42" s="3"/>
    </row>
    <row r="43" spans="1:9" x14ac:dyDescent="0.25">
      <c r="B43" s="6"/>
      <c r="C43" s="5"/>
      <c r="D43" s="5"/>
      <c r="F43" s="2"/>
      <c r="G43" s="3"/>
      <c r="H43" s="3"/>
    </row>
    <row r="44" spans="1:9" x14ac:dyDescent="0.25">
      <c r="B44" s="5"/>
      <c r="C44" s="5"/>
      <c r="D44" s="5"/>
      <c r="F44" s="2"/>
      <c r="G44" s="3"/>
      <c r="H44" s="3"/>
    </row>
    <row r="45" spans="1:9" x14ac:dyDescent="0.25">
      <c r="B45" s="4"/>
      <c r="C45" s="4"/>
      <c r="D45" s="4"/>
      <c r="F45" s="2"/>
      <c r="G45" s="3"/>
      <c r="H45" s="3"/>
    </row>
    <row r="46" spans="1:9" x14ac:dyDescent="0.25">
      <c r="B46" s="4"/>
      <c r="C46" s="4"/>
      <c r="D46" s="4"/>
      <c r="F46" s="2"/>
      <c r="G46" s="3"/>
      <c r="H46" s="3"/>
    </row>
    <row r="47" spans="1:9" x14ac:dyDescent="0.25">
      <c r="B47" s="4"/>
      <c r="C47" s="4"/>
      <c r="D47" s="4"/>
      <c r="F47" s="2"/>
      <c r="G47" s="3"/>
      <c r="H47" s="3"/>
    </row>
    <row r="48" spans="1:9" x14ac:dyDescent="0.25">
      <c r="B48" s="4"/>
      <c r="C48" s="4"/>
      <c r="D48" s="4"/>
      <c r="F48" s="2"/>
      <c r="G48" s="3"/>
      <c r="H48" s="3"/>
    </row>
    <row r="49" spans="2:8" x14ac:dyDescent="0.25">
      <c r="B49" s="4"/>
      <c r="C49" s="4"/>
      <c r="D49" s="4"/>
      <c r="F49" s="2"/>
      <c r="G49" s="3"/>
      <c r="H49" s="3"/>
    </row>
    <row r="50" spans="2:8" x14ac:dyDescent="0.25">
      <c r="B50" s="4"/>
      <c r="C50" s="4"/>
      <c r="D50" s="4"/>
      <c r="F50" s="2"/>
      <c r="G50" s="3"/>
      <c r="H50" s="3"/>
    </row>
    <row r="51" spans="2:8" x14ac:dyDescent="0.25">
      <c r="B51" s="4"/>
      <c r="C51" s="4"/>
      <c r="D51" s="4"/>
      <c r="F51" s="2"/>
      <c r="G51" s="3"/>
      <c r="H51" s="3"/>
    </row>
    <row r="52" spans="2:8" x14ac:dyDescent="0.25">
      <c r="F52" s="2"/>
      <c r="G52" s="3"/>
      <c r="H52" s="3"/>
    </row>
    <row r="53" spans="2:8" x14ac:dyDescent="0.25">
      <c r="F53" s="2"/>
      <c r="G53" s="3"/>
      <c r="H53" s="3"/>
    </row>
    <row r="54" spans="2:8" x14ac:dyDescent="0.25">
      <c r="F54" s="2"/>
      <c r="G54" s="3"/>
      <c r="H54" s="3"/>
    </row>
    <row r="55" spans="2:8" x14ac:dyDescent="0.25">
      <c r="F55" s="2"/>
      <c r="G55" s="3"/>
      <c r="H55" s="3"/>
    </row>
    <row r="56" spans="2:8" x14ac:dyDescent="0.25">
      <c r="F56" s="2"/>
      <c r="G56" s="3"/>
      <c r="H56" s="3"/>
    </row>
    <row r="57" spans="2:8" x14ac:dyDescent="0.25">
      <c r="F57" s="2"/>
      <c r="G57" s="3"/>
      <c r="H57" s="3"/>
    </row>
    <row r="58" spans="2:8" x14ac:dyDescent="0.25">
      <c r="F58" s="2"/>
      <c r="G58" s="3"/>
      <c r="H58" s="3"/>
    </row>
    <row r="59" spans="2:8" x14ac:dyDescent="0.25">
      <c r="F59" s="2"/>
      <c r="G59" s="3"/>
      <c r="H59" s="3"/>
    </row>
    <row r="60" spans="2:8" x14ac:dyDescent="0.25">
      <c r="F60" s="2"/>
      <c r="G60" s="3"/>
      <c r="H60" s="3"/>
    </row>
    <row r="61" spans="2:8" x14ac:dyDescent="0.25">
      <c r="F61" s="2"/>
      <c r="G61" s="3"/>
      <c r="H61" s="3"/>
    </row>
    <row r="62" spans="2:8" x14ac:dyDescent="0.25">
      <c r="F62" s="2"/>
      <c r="G62" s="3"/>
      <c r="H62" s="3"/>
    </row>
    <row r="63" spans="2:8" x14ac:dyDescent="0.25">
      <c r="F63" s="2"/>
      <c r="G63" s="3"/>
      <c r="H63" s="3"/>
    </row>
    <row r="64" spans="2:8" x14ac:dyDescent="0.25">
      <c r="F64" s="2"/>
      <c r="G64" s="3"/>
      <c r="H64" s="3"/>
    </row>
    <row r="65" spans="6:8" x14ac:dyDescent="0.25">
      <c r="F65" s="2"/>
      <c r="G65" s="3"/>
      <c r="H65" s="3"/>
    </row>
    <row r="66" spans="6:8" x14ac:dyDescent="0.25">
      <c r="F66" s="2"/>
      <c r="G66" s="3"/>
      <c r="H66" s="3"/>
    </row>
    <row r="67" spans="6:8" x14ac:dyDescent="0.25">
      <c r="F67" s="2"/>
      <c r="G67" s="3"/>
      <c r="H67" s="3"/>
    </row>
    <row r="68" spans="6:8" x14ac:dyDescent="0.25">
      <c r="F68" s="2"/>
      <c r="G68" s="3"/>
      <c r="H68" s="3"/>
    </row>
    <row r="69" spans="6:8" x14ac:dyDescent="0.25">
      <c r="F69" s="2"/>
      <c r="G69" s="3"/>
      <c r="H69" s="3"/>
    </row>
    <row r="70" spans="6:8" x14ac:dyDescent="0.25">
      <c r="F70" s="2"/>
      <c r="G70" s="3"/>
      <c r="H70" s="3"/>
    </row>
    <row r="71" spans="6:8" x14ac:dyDescent="0.25">
      <c r="F71" s="2"/>
      <c r="G71" s="3"/>
      <c r="H71" s="3"/>
    </row>
    <row r="72" spans="6:8" x14ac:dyDescent="0.25">
      <c r="F72" s="2"/>
      <c r="G72" s="3"/>
      <c r="H72" s="3"/>
    </row>
    <row r="73" spans="6:8" x14ac:dyDescent="0.25">
      <c r="F73" s="2"/>
      <c r="G73" s="3"/>
      <c r="H73" s="3"/>
    </row>
    <row r="74" spans="6:8" x14ac:dyDescent="0.25">
      <c r="F74" s="2"/>
      <c r="G74" s="3"/>
      <c r="H74" s="3"/>
    </row>
    <row r="75" spans="6:8" x14ac:dyDescent="0.25">
      <c r="F75" s="2"/>
      <c r="G75" s="3"/>
      <c r="H75" s="3"/>
    </row>
    <row r="76" spans="6:8" x14ac:dyDescent="0.25">
      <c r="F76" s="2"/>
      <c r="G76" s="3"/>
      <c r="H76" s="3"/>
    </row>
    <row r="77" spans="6:8" x14ac:dyDescent="0.25">
      <c r="F77" s="2"/>
      <c r="G77" s="3"/>
      <c r="H77" s="3"/>
    </row>
    <row r="78" spans="6:8" x14ac:dyDescent="0.25">
      <c r="F78" s="2"/>
      <c r="G78" s="3"/>
      <c r="H78" s="3"/>
    </row>
    <row r="79" spans="6:8" x14ac:dyDescent="0.25">
      <c r="F79" s="2"/>
      <c r="G79" s="3"/>
      <c r="H79" s="3"/>
    </row>
    <row r="80" spans="6:8" x14ac:dyDescent="0.25">
      <c r="F80" s="2"/>
      <c r="G80" s="3"/>
      <c r="H80" s="3"/>
    </row>
    <row r="81" spans="6:8" x14ac:dyDescent="0.25">
      <c r="F81" s="2"/>
      <c r="G81" s="3"/>
      <c r="H81" s="3"/>
    </row>
    <row r="82" spans="6:8" x14ac:dyDescent="0.25">
      <c r="F82" s="2"/>
      <c r="G82" s="3"/>
      <c r="H82" s="3"/>
    </row>
    <row r="83" spans="6:8" x14ac:dyDescent="0.25">
      <c r="F83" s="2"/>
      <c r="G83" s="3"/>
      <c r="H83" s="3"/>
    </row>
    <row r="84" spans="6:8" x14ac:dyDescent="0.25">
      <c r="F84" s="2"/>
      <c r="G84" s="3"/>
      <c r="H84" s="3"/>
    </row>
    <row r="85" spans="6:8" x14ac:dyDescent="0.25">
      <c r="F85" s="2"/>
      <c r="G85" s="3"/>
      <c r="H85" s="3"/>
    </row>
    <row r="86" spans="6:8" x14ac:dyDescent="0.25">
      <c r="F86" s="2"/>
      <c r="G86" s="3"/>
      <c r="H86" s="3"/>
    </row>
    <row r="87" spans="6:8" x14ac:dyDescent="0.25">
      <c r="F87" s="2"/>
      <c r="G87" s="3"/>
      <c r="H87" s="3"/>
    </row>
    <row r="88" spans="6:8" x14ac:dyDescent="0.25">
      <c r="F88" s="2"/>
      <c r="G88" s="3"/>
      <c r="H88" s="3"/>
    </row>
    <row r="89" spans="6:8" x14ac:dyDescent="0.25">
      <c r="F89" s="2"/>
      <c r="G89" s="3"/>
      <c r="H89" s="3"/>
    </row>
    <row r="90" spans="6:8" x14ac:dyDescent="0.25">
      <c r="F90" s="2"/>
      <c r="G90" s="3"/>
      <c r="H90" s="3"/>
    </row>
    <row r="91" spans="6:8" x14ac:dyDescent="0.25">
      <c r="F91" s="2"/>
      <c r="G91" s="3"/>
      <c r="H91" s="3"/>
    </row>
    <row r="92" spans="6:8" x14ac:dyDescent="0.25">
      <c r="F92" s="2"/>
      <c r="G92" s="3"/>
      <c r="H92" s="3"/>
    </row>
    <row r="93" spans="6:8" x14ac:dyDescent="0.25">
      <c r="F93" s="2"/>
      <c r="G93" s="3"/>
      <c r="H93" s="3"/>
    </row>
    <row r="94" spans="6:8" x14ac:dyDescent="0.25">
      <c r="F94" s="2"/>
      <c r="G94" s="3"/>
      <c r="H94" s="3"/>
    </row>
    <row r="95" spans="6:8" x14ac:dyDescent="0.25">
      <c r="F95" s="2"/>
      <c r="G95" s="3"/>
      <c r="H95" s="3"/>
    </row>
    <row r="96" spans="6:8" x14ac:dyDescent="0.25">
      <c r="F96" s="2"/>
      <c r="G96" s="3"/>
      <c r="H96" s="3"/>
    </row>
    <row r="97" spans="6:8" x14ac:dyDescent="0.25">
      <c r="F97" s="2"/>
      <c r="G97" s="3"/>
      <c r="H97" s="3"/>
    </row>
    <row r="98" spans="6:8" x14ac:dyDescent="0.25">
      <c r="F98" s="2"/>
      <c r="G98" s="3"/>
      <c r="H98" s="3"/>
    </row>
    <row r="99" spans="6:8" x14ac:dyDescent="0.25">
      <c r="F99" s="2"/>
      <c r="G99" s="3"/>
      <c r="H99" s="3"/>
    </row>
    <row r="100" spans="6:8" x14ac:dyDescent="0.25">
      <c r="F100" s="2"/>
      <c r="G100" s="3"/>
      <c r="H100" s="3"/>
    </row>
    <row r="101" spans="6:8" x14ac:dyDescent="0.25">
      <c r="F101" s="2"/>
      <c r="G101" s="3"/>
      <c r="H101" s="3"/>
    </row>
    <row r="102" spans="6:8" x14ac:dyDescent="0.25">
      <c r="F102" s="2"/>
      <c r="G102" s="3"/>
      <c r="H102" s="3"/>
    </row>
    <row r="103" spans="6:8" x14ac:dyDescent="0.25">
      <c r="F103" s="2"/>
      <c r="G103" s="3"/>
      <c r="H103" s="3"/>
    </row>
    <row r="104" spans="6:8" x14ac:dyDescent="0.25">
      <c r="F104" s="2"/>
      <c r="G104" s="3"/>
      <c r="H104" s="3"/>
    </row>
    <row r="105" spans="6:8" x14ac:dyDescent="0.25">
      <c r="F105" s="2"/>
      <c r="G105" s="3"/>
      <c r="H105" s="3"/>
    </row>
    <row r="106" spans="6:8" x14ac:dyDescent="0.25">
      <c r="F106" s="2"/>
    </row>
    <row r="107" spans="6:8" x14ac:dyDescent="0.25">
      <c r="F107" s="2"/>
    </row>
    <row r="108" spans="6:8" x14ac:dyDescent="0.25">
      <c r="F108" s="2"/>
    </row>
    <row r="109" spans="6:8" x14ac:dyDescent="0.25">
      <c r="F109" s="2"/>
    </row>
    <row r="110" spans="6:8" x14ac:dyDescent="0.25">
      <c r="F110" s="2"/>
    </row>
    <row r="111" spans="6:8" x14ac:dyDescent="0.25">
      <c r="F111" s="2"/>
    </row>
    <row r="112" spans="6:8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  <row r="132" spans="6:6" x14ac:dyDescent="0.25">
      <c r="F132" s="2"/>
    </row>
    <row r="133" spans="6:6" x14ac:dyDescent="0.25">
      <c r="F133" s="2"/>
    </row>
    <row r="134" spans="6:6" x14ac:dyDescent="0.25">
      <c r="F134" s="2"/>
    </row>
    <row r="135" spans="6:6" x14ac:dyDescent="0.25">
      <c r="F135" s="2"/>
    </row>
    <row r="136" spans="6:6" x14ac:dyDescent="0.25">
      <c r="F136" s="2"/>
    </row>
    <row r="137" spans="6:6" x14ac:dyDescent="0.25">
      <c r="F137" s="2"/>
    </row>
    <row r="138" spans="6:6" x14ac:dyDescent="0.25">
      <c r="F138" s="2"/>
    </row>
    <row r="139" spans="6:6" x14ac:dyDescent="0.25">
      <c r="F139" s="2"/>
    </row>
    <row r="140" spans="6:6" x14ac:dyDescent="0.25">
      <c r="F140" s="2"/>
    </row>
    <row r="141" spans="6:6" x14ac:dyDescent="0.25">
      <c r="F141" s="2"/>
    </row>
    <row r="142" spans="6:6" x14ac:dyDescent="0.25">
      <c r="F142" s="2"/>
    </row>
    <row r="143" spans="6:6" x14ac:dyDescent="0.25">
      <c r="F143" s="2"/>
    </row>
    <row r="144" spans="6:6" x14ac:dyDescent="0.25">
      <c r="F144" s="2"/>
    </row>
    <row r="145" spans="6:6" x14ac:dyDescent="0.25">
      <c r="F145" s="2"/>
    </row>
    <row r="146" spans="6:6" x14ac:dyDescent="0.25">
      <c r="F146" s="2"/>
    </row>
    <row r="147" spans="6:6" x14ac:dyDescent="0.25">
      <c r="F147" s="2"/>
    </row>
    <row r="148" spans="6:6" x14ac:dyDescent="0.25">
      <c r="F148" s="2"/>
    </row>
    <row r="149" spans="6:6" x14ac:dyDescent="0.25">
      <c r="F149" s="2"/>
    </row>
    <row r="150" spans="6:6" x14ac:dyDescent="0.25">
      <c r="F150" s="2"/>
    </row>
    <row r="151" spans="6:6" x14ac:dyDescent="0.25">
      <c r="F151" s="2"/>
    </row>
    <row r="152" spans="6:6" x14ac:dyDescent="0.25">
      <c r="F152" s="2"/>
    </row>
    <row r="153" spans="6:6" x14ac:dyDescent="0.25">
      <c r="F153" s="2"/>
    </row>
    <row r="154" spans="6:6" x14ac:dyDescent="0.25">
      <c r="F154" s="2"/>
    </row>
    <row r="155" spans="6:6" x14ac:dyDescent="0.25">
      <c r="F155" s="2"/>
    </row>
    <row r="156" spans="6:6" x14ac:dyDescent="0.25">
      <c r="F156" s="2"/>
    </row>
    <row r="157" spans="6:6" x14ac:dyDescent="0.25">
      <c r="F157" s="2"/>
    </row>
    <row r="158" spans="6:6" x14ac:dyDescent="0.25">
      <c r="F158" s="2"/>
    </row>
    <row r="159" spans="6:6" x14ac:dyDescent="0.25">
      <c r="F159" s="2"/>
    </row>
    <row r="160" spans="6:6" x14ac:dyDescent="0.25">
      <c r="F160" s="2"/>
    </row>
    <row r="161" spans="6:6" x14ac:dyDescent="0.25">
      <c r="F161" s="2"/>
    </row>
    <row r="162" spans="6:6" x14ac:dyDescent="0.25">
      <c r="F162" s="2"/>
    </row>
    <row r="163" spans="6:6" x14ac:dyDescent="0.25">
      <c r="F163" s="2"/>
    </row>
    <row r="164" spans="6:6" x14ac:dyDescent="0.25">
      <c r="F164" s="2"/>
    </row>
    <row r="165" spans="6:6" x14ac:dyDescent="0.25">
      <c r="F165" s="2"/>
    </row>
    <row r="166" spans="6:6" x14ac:dyDescent="0.25">
      <c r="F166" s="2"/>
    </row>
    <row r="167" spans="6:6" x14ac:dyDescent="0.25">
      <c r="F167" s="2"/>
    </row>
    <row r="168" spans="6:6" x14ac:dyDescent="0.25">
      <c r="F168" s="2"/>
    </row>
    <row r="169" spans="6:6" x14ac:dyDescent="0.25">
      <c r="F169" s="2"/>
    </row>
    <row r="170" spans="6:6" x14ac:dyDescent="0.25">
      <c r="F170" s="2"/>
    </row>
    <row r="171" spans="6:6" x14ac:dyDescent="0.25">
      <c r="F171" s="2"/>
    </row>
    <row r="172" spans="6:6" x14ac:dyDescent="0.25">
      <c r="F172" s="2"/>
    </row>
    <row r="173" spans="6:6" x14ac:dyDescent="0.25">
      <c r="F173" s="2"/>
    </row>
    <row r="174" spans="6:6" x14ac:dyDescent="0.25">
      <c r="F174" s="2"/>
    </row>
    <row r="175" spans="6:6" x14ac:dyDescent="0.25">
      <c r="F175" s="2"/>
    </row>
    <row r="176" spans="6:6" x14ac:dyDescent="0.25">
      <c r="F176" s="2"/>
    </row>
    <row r="177" spans="6:6" x14ac:dyDescent="0.25">
      <c r="F177" s="2"/>
    </row>
    <row r="178" spans="6:6" x14ac:dyDescent="0.25">
      <c r="F178" s="2"/>
    </row>
    <row r="179" spans="6:6" x14ac:dyDescent="0.25">
      <c r="F179" s="2"/>
    </row>
    <row r="180" spans="6:6" x14ac:dyDescent="0.25">
      <c r="F180" s="2"/>
    </row>
    <row r="181" spans="6:6" x14ac:dyDescent="0.25">
      <c r="F181" s="2"/>
    </row>
    <row r="182" spans="6:6" x14ac:dyDescent="0.25">
      <c r="F182" s="2"/>
    </row>
    <row r="183" spans="6:6" x14ac:dyDescent="0.25">
      <c r="F183" s="2"/>
    </row>
    <row r="184" spans="6:6" x14ac:dyDescent="0.25">
      <c r="F184" s="2"/>
    </row>
    <row r="185" spans="6:6" x14ac:dyDescent="0.25">
      <c r="F185" s="2"/>
    </row>
    <row r="186" spans="6:6" x14ac:dyDescent="0.25">
      <c r="F186" s="2"/>
    </row>
    <row r="187" spans="6:6" x14ac:dyDescent="0.25">
      <c r="F187" s="2"/>
    </row>
    <row r="188" spans="6:6" x14ac:dyDescent="0.25">
      <c r="F188" s="2"/>
    </row>
    <row r="189" spans="6:6" x14ac:dyDescent="0.25">
      <c r="F189" s="2"/>
    </row>
    <row r="190" spans="6:6" x14ac:dyDescent="0.25">
      <c r="F190" s="2"/>
    </row>
  </sheetData>
  <pageMargins left="0.70866141732283472" right="0.70866141732283472" top="0.74803149606299213" bottom="0.74803149606299213" header="0.31496062992125984" footer="0.31496062992125984"/>
  <pageSetup scale="63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2011-08-24T11:51:03Z</dcterms:created>
  <dcterms:modified xsi:type="dcterms:W3CDTF">2011-08-24T11:51:16Z</dcterms:modified>
</cp:coreProperties>
</file>