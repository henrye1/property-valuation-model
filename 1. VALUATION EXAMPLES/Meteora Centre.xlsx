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G4"/>
  <c r="K4"/>
  <c r="G5"/>
  <c r="K5"/>
  <c r="F9"/>
  <c r="I6" s="1"/>
  <c r="I13"/>
  <c r="I16" s="1"/>
  <c r="I14"/>
  <c r="K14" s="1"/>
  <c r="I15"/>
  <c r="K15"/>
  <c r="F16"/>
  <c r="E20"/>
  <c r="F20" s="1"/>
  <c r="E35"/>
  <c r="I9" l="1"/>
  <c r="G9" s="1"/>
  <c r="K6"/>
  <c r="I17"/>
  <c r="I18" s="1"/>
  <c r="G20"/>
  <c r="I21" l="1"/>
  <c r="I23" s="1"/>
  <c r="H20"/>
  <c r="I22" l="1"/>
  <c r="E34" s="1"/>
  <c r="E38" s="1"/>
  <c r="I24"/>
  <c r="I25" s="1"/>
  <c r="I27" l="1"/>
  <c r="B30"/>
  <c r="E32"/>
  <c r="E31" s="1"/>
  <c r="B31" s="1"/>
  <c r="B32" l="1"/>
</calcChain>
</file>

<file path=xl/sharedStrings.xml><?xml version="1.0" encoding="utf-8"?>
<sst xmlns="http://schemas.openxmlformats.org/spreadsheetml/2006/main" count="56" uniqueCount="48">
  <si>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</si>
  <si>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</si>
  <si>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</si>
  <si>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</si>
  <si>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</si>
  <si>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</si>
  <si>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</si>
  <si>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</si>
  <si>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</si>
  <si>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</si>
  <si>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</si>
  <si>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</si>
  <si>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</si>
  <si>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</si>
  <si>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</si>
  <si>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</si>
  <si>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</si>
  <si>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</si>
  <si>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</si>
  <si>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</si>
  <si>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</si>
  <si>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</si>
  <si>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</si>
  <si>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</si>
  <si>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</si>
  <si>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</si>
  <si>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</si>
  <si>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</si>
  <si>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Recoveries</t>
  </si>
  <si>
    <t>Various</t>
  </si>
  <si>
    <t>1 year</t>
  </si>
  <si>
    <t>Residential</t>
  </si>
  <si>
    <t>Flat</t>
  </si>
  <si>
    <t>3-5 years</t>
  </si>
  <si>
    <t>N/A</t>
  </si>
  <si>
    <t>Retail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</si>
  <si>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</si>
  <si>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</si>
  <si>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</si>
  <si>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</si>
  <si>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</si>
  <si>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</si>
  <si>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</si>
  <si>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</si>
  <si>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</si>
  <si>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</si>
  <si>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Meteora Centre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</si>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</sst>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64" fontId="2" fillId="0" borderId="0" xfId="0" applyNumberFormat="1" applyFont="1" applyBorder="1"/>
    <xf numFmtId="164" fontId="2" fillId="0" borderId="60" xfId="0" applyNumberFormat="1" applyFont="1" applyBorder="1"/>
    <xf numFmtId="1" fontId="2" fillId="0" borderId="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K191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2.5703125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6" t="s">
        <v>47</v>
      </c>
      <c r="B1" s="165" t="s">
        <v>46</v>
      </c>
      <c r="C1" s="165"/>
      <c r="D1" s="165"/>
      <c r="E1" s="163"/>
      <c r="F1" s="163"/>
      <c r="G1" s="164"/>
      <c r="H1" s="163"/>
      <c r="I1" s="162"/>
      <c r="J1" s="52"/>
    </row>
    <row r="2" spans="1:11" ht="20.25" customHeight="1" thickBot="1">
      <c r="A2" s="161" t="s">
        <v>45</v>
      </c>
      <c r="B2" s="159"/>
      <c r="C2" s="159"/>
      <c r="D2" s="159"/>
      <c r="E2" s="160">
        <f ca="1">TODAY()</f>
        <v>40779</v>
      </c>
      <c r="F2" s="159"/>
      <c r="G2" s="159"/>
      <c r="H2" s="159"/>
      <c r="I2" s="158"/>
      <c r="J2" s="52"/>
    </row>
    <row r="3" spans="1:11" ht="63.75" customHeight="1" thickBot="1">
      <c r="A3" s="157" t="s">
        <v>44</v>
      </c>
      <c r="B3" s="156" t="s">
        <v>43</v>
      </c>
      <c r="C3" s="156" t="s">
        <v>42</v>
      </c>
      <c r="D3" s="156" t="s">
        <v>41</v>
      </c>
      <c r="E3" s="156" t="s">
        <v>40</v>
      </c>
      <c r="F3" s="155" t="s">
        <v>39</v>
      </c>
      <c r="G3" s="154" t="s">
        <v>38</v>
      </c>
      <c r="H3" s="153" t="s">
        <v>37</v>
      </c>
      <c r="I3" s="152" t="s">
        <v>36</v>
      </c>
      <c r="J3" s="52"/>
    </row>
    <row r="4" spans="1:11">
      <c r="A4" s="150" t="s">
        <v>29</v>
      </c>
      <c r="B4" s="151" t="s">
        <v>35</v>
      </c>
      <c r="C4" s="146" t="s">
        <v>34</v>
      </c>
      <c r="D4" s="146" t="s">
        <v>33</v>
      </c>
      <c r="E4" s="146" t="s">
        <v>29</v>
      </c>
      <c r="F4" s="149">
        <v>1326</v>
      </c>
      <c r="G4" s="139">
        <f>I4/F4</f>
        <v>73.292797888386119</v>
      </c>
      <c r="H4" s="148"/>
      <c r="I4" s="119">
        <v>97186.25</v>
      </c>
      <c r="J4" s="52"/>
      <c r="K4" s="118">
        <f>I4*12</f>
        <v>1166235</v>
      </c>
    </row>
    <row r="5" spans="1:11">
      <c r="A5" s="150" t="s">
        <v>32</v>
      </c>
      <c r="B5" s="151" t="s">
        <v>31</v>
      </c>
      <c r="C5" s="146"/>
      <c r="D5" s="146" t="s">
        <v>30</v>
      </c>
      <c r="E5" s="146" t="s">
        <v>29</v>
      </c>
      <c r="F5" s="149">
        <v>36</v>
      </c>
      <c r="G5" s="139">
        <f>I5/F5</f>
        <v>2566.6666666666665</v>
      </c>
      <c r="H5" s="148"/>
      <c r="I5" s="119">
        <v>92400</v>
      </c>
      <c r="J5" s="52"/>
      <c r="K5" s="118">
        <f>I5*12</f>
        <v>1108800</v>
      </c>
    </row>
    <row r="6" spans="1:11">
      <c r="A6" s="150" t="s">
        <v>28</v>
      </c>
      <c r="B6" s="151"/>
      <c r="C6" s="146"/>
      <c r="D6" s="146"/>
      <c r="E6" s="146"/>
      <c r="F6" s="149"/>
      <c r="G6" s="139"/>
      <c r="H6" s="148">
        <v>13</v>
      </c>
      <c r="I6" s="119">
        <f>H6*F9</f>
        <v>17706</v>
      </c>
      <c r="J6" s="52"/>
      <c r="K6" s="118">
        <f>I6*12</f>
        <v>212472</v>
      </c>
    </row>
    <row r="7" spans="1:11">
      <c r="A7" s="150"/>
      <c r="B7" s="126"/>
      <c r="C7" s="146"/>
      <c r="D7" s="146"/>
      <c r="E7" s="146"/>
      <c r="F7" s="149"/>
      <c r="G7" s="139"/>
      <c r="H7" s="148"/>
      <c r="I7" s="119"/>
      <c r="J7" s="52"/>
    </row>
    <row r="8" spans="1:11">
      <c r="A8" s="147" t="s">
        <v>27</v>
      </c>
      <c r="B8" s="123" t="s">
        <v>27</v>
      </c>
      <c r="C8" s="130" t="s">
        <v>27</v>
      </c>
      <c r="D8" s="146" t="s">
        <v>27</v>
      </c>
      <c r="E8" s="146" t="s">
        <v>27</v>
      </c>
      <c r="F8" s="145"/>
      <c r="G8" s="144"/>
      <c r="H8" s="143"/>
      <c r="I8" s="119"/>
      <c r="J8" s="52"/>
    </row>
    <row r="9" spans="1:11">
      <c r="A9" s="142" t="s">
        <v>15</v>
      </c>
      <c r="B9" s="141"/>
      <c r="C9" s="141"/>
      <c r="D9" s="141"/>
      <c r="E9" s="141"/>
      <c r="F9" s="140">
        <f>SUM(F4:F8)</f>
        <v>1362</v>
      </c>
      <c r="G9" s="139">
        <f>I9/F9-H9</f>
        <v>152.196953010279</v>
      </c>
      <c r="H9" s="138">
        <v>0</v>
      </c>
      <c r="I9" s="138">
        <f>SUM(I4:I8)</f>
        <v>207292.25</v>
      </c>
      <c r="J9" s="52"/>
    </row>
    <row r="10" spans="1:11">
      <c r="A10" s="137"/>
      <c r="B10" s="136"/>
      <c r="C10" s="136"/>
      <c r="D10" s="136"/>
      <c r="E10" s="135"/>
      <c r="F10" s="134"/>
      <c r="G10" s="133"/>
      <c r="H10" s="120"/>
      <c r="I10" s="119"/>
      <c r="J10" s="52"/>
    </row>
    <row r="11" spans="1:11">
      <c r="A11" s="132" t="s">
        <v>26</v>
      </c>
      <c r="B11" s="131"/>
      <c r="C11" s="131"/>
      <c r="D11" s="131"/>
      <c r="E11" s="130"/>
      <c r="F11" s="129" t="s">
        <v>25</v>
      </c>
      <c r="G11" s="128" t="s">
        <v>24</v>
      </c>
      <c r="H11" s="120"/>
      <c r="I11" s="119"/>
      <c r="J11" s="52"/>
    </row>
    <row r="12" spans="1:11">
      <c r="A12" s="127"/>
      <c r="B12" s="35"/>
      <c r="C12" s="35"/>
      <c r="D12" s="35"/>
      <c r="E12" s="126"/>
      <c r="F12" s="122"/>
      <c r="G12" s="121"/>
      <c r="H12" s="120"/>
      <c r="I12" s="119"/>
      <c r="J12" s="52"/>
    </row>
    <row r="13" spans="1:11">
      <c r="A13" s="127"/>
      <c r="B13" s="35"/>
      <c r="C13" s="35"/>
      <c r="D13" s="35"/>
      <c r="E13" s="126" t="s">
        <v>23</v>
      </c>
      <c r="F13" s="122"/>
      <c r="G13" s="121"/>
      <c r="H13" s="120"/>
      <c r="I13" s="119">
        <f>G13*F13</f>
        <v>0</v>
      </c>
      <c r="J13" s="52"/>
    </row>
    <row r="14" spans="1:11">
      <c r="A14" s="127"/>
      <c r="B14" s="35"/>
      <c r="C14" s="35"/>
      <c r="D14" s="35"/>
      <c r="E14" s="126" t="s">
        <v>22</v>
      </c>
      <c r="F14" s="122"/>
      <c r="G14" s="121"/>
      <c r="H14" s="120"/>
      <c r="I14" s="119">
        <f>G14*F14</f>
        <v>0</v>
      </c>
      <c r="J14" s="52"/>
      <c r="K14" s="118">
        <f>I14*12</f>
        <v>0</v>
      </c>
    </row>
    <row r="15" spans="1:11">
      <c r="A15" s="125"/>
      <c r="B15" s="124"/>
      <c r="C15" s="124"/>
      <c r="D15" s="124"/>
      <c r="E15" s="123" t="s">
        <v>21</v>
      </c>
      <c r="F15" s="122"/>
      <c r="G15" s="121"/>
      <c r="H15" s="120"/>
      <c r="I15" s="119">
        <f>G15*F15</f>
        <v>0</v>
      </c>
      <c r="J15" s="52"/>
      <c r="K15" s="118">
        <f>I15*12</f>
        <v>0</v>
      </c>
    </row>
    <row r="16" spans="1:11" ht="15.75" thickBot="1">
      <c r="A16" s="117" t="s">
        <v>15</v>
      </c>
      <c r="B16" s="116"/>
      <c r="C16" s="116"/>
      <c r="D16" s="116"/>
      <c r="E16" s="115"/>
      <c r="F16" s="114">
        <f>SUM(F12:F15)</f>
        <v>0</v>
      </c>
      <c r="G16" s="113"/>
      <c r="H16" s="112"/>
      <c r="I16" s="111">
        <f>SUM(I13:I15)</f>
        <v>0</v>
      </c>
      <c r="J16" s="52"/>
    </row>
    <row r="17" spans="1:10" ht="18.75" customHeight="1" thickBot="1">
      <c r="A17" s="110" t="s">
        <v>20</v>
      </c>
      <c r="B17" s="109"/>
      <c r="C17" s="109"/>
      <c r="D17" s="109"/>
      <c r="E17" s="108"/>
      <c r="F17" s="107"/>
      <c r="G17" s="106"/>
      <c r="H17" s="101"/>
      <c r="I17" s="99">
        <f>+I16+I9</f>
        <v>207292.25</v>
      </c>
      <c r="J17" s="52"/>
    </row>
    <row r="18" spans="1:10" ht="18.75" customHeight="1" thickBot="1">
      <c r="A18" s="105" t="s">
        <v>19</v>
      </c>
      <c r="B18" s="104"/>
      <c r="C18" s="104"/>
      <c r="D18" s="104"/>
      <c r="E18" s="103"/>
      <c r="F18" s="102"/>
      <c r="G18" s="101"/>
      <c r="H18" s="100"/>
      <c r="I18" s="99">
        <f>+I17*12</f>
        <v>2487507</v>
      </c>
      <c r="J18" s="52"/>
    </row>
    <row r="19" spans="1:10" ht="18.75" customHeight="1">
      <c r="A19" s="98" t="s">
        <v>18</v>
      </c>
      <c r="B19" s="97"/>
      <c r="C19" s="97"/>
      <c r="D19" s="97"/>
      <c r="E19" s="96"/>
      <c r="F19" s="96" t="s">
        <v>17</v>
      </c>
      <c r="G19" s="95" t="s">
        <v>16</v>
      </c>
      <c r="H19" s="94"/>
      <c r="I19" s="93"/>
      <c r="J19" s="52"/>
    </row>
    <row r="20" spans="1:10" ht="15.75" thickBot="1">
      <c r="A20" s="92" t="s">
        <v>15</v>
      </c>
      <c r="B20" s="91"/>
      <c r="C20" s="91"/>
      <c r="D20" s="91"/>
      <c r="E20" s="90">
        <f>477612/12</f>
        <v>39801</v>
      </c>
      <c r="F20" s="90">
        <f>E20*12</f>
        <v>477612</v>
      </c>
      <c r="G20" s="89">
        <f>E20/F9</f>
        <v>29.222466960352424</v>
      </c>
      <c r="H20" s="88">
        <f>F20/I18</f>
        <v>0.19200428380704054</v>
      </c>
      <c r="I20" s="87"/>
      <c r="J20" s="52"/>
    </row>
    <row r="21" spans="1:10" ht="18.75" customHeight="1">
      <c r="A21" s="86" t="s">
        <v>14</v>
      </c>
      <c r="B21" s="85"/>
      <c r="C21" s="85"/>
      <c r="D21" s="85"/>
      <c r="E21" s="84"/>
      <c r="F21" s="83"/>
      <c r="G21" s="82"/>
      <c r="H21" s="81">
        <v>0.03</v>
      </c>
      <c r="I21" s="80">
        <f>+I18*-H21</f>
        <v>-74625.209999999992</v>
      </c>
      <c r="J21" s="52"/>
    </row>
    <row r="22" spans="1:10" ht="18.75" customHeight="1">
      <c r="A22" s="79" t="s">
        <v>13</v>
      </c>
      <c r="B22" s="78"/>
      <c r="C22" s="78"/>
      <c r="D22" s="78"/>
      <c r="E22" s="77"/>
      <c r="F22" s="76"/>
      <c r="G22" s="75"/>
      <c r="H22" s="74"/>
      <c r="I22" s="73">
        <f>+I23/12</f>
        <v>161272.48250000001</v>
      </c>
      <c r="J22" s="52"/>
    </row>
    <row r="23" spans="1:10" ht="18.75" customHeight="1">
      <c r="A23" s="69" t="s">
        <v>12</v>
      </c>
      <c r="B23" s="67"/>
      <c r="C23" s="67"/>
      <c r="D23" s="67"/>
      <c r="E23" s="68"/>
      <c r="F23" s="68"/>
      <c r="G23" s="72"/>
      <c r="H23" s="65"/>
      <c r="I23" s="70">
        <f>+I18-F20+I21</f>
        <v>1935269.79</v>
      </c>
      <c r="J23" s="52"/>
    </row>
    <row r="24" spans="1:10" ht="18.75" customHeight="1">
      <c r="A24" s="69" t="s">
        <v>11</v>
      </c>
      <c r="B24" s="67"/>
      <c r="C24" s="67"/>
      <c r="D24" s="67"/>
      <c r="E24" s="68"/>
      <c r="F24" s="68"/>
      <c r="G24" s="71"/>
      <c r="H24" s="65">
        <v>0.12</v>
      </c>
      <c r="I24" s="70">
        <f>+I23/H24</f>
        <v>16127248.25</v>
      </c>
      <c r="J24" s="52"/>
    </row>
    <row r="25" spans="1:10" ht="18.75" customHeight="1">
      <c r="A25" s="69" t="s">
        <v>10</v>
      </c>
      <c r="B25" s="67"/>
      <c r="C25" s="67"/>
      <c r="D25" s="67"/>
      <c r="E25" s="68"/>
      <c r="F25" s="67"/>
      <c r="G25" s="66"/>
      <c r="H25" s="65"/>
      <c r="I25" s="64">
        <f>ROUND(I24,-4)</f>
        <v>16130000</v>
      </c>
      <c r="J25" s="52"/>
    </row>
    <row r="26" spans="1:10" ht="18.75" customHeight="1">
      <c r="A26" s="63"/>
      <c r="B26" s="62"/>
      <c r="C26" s="62"/>
      <c r="D26" s="62"/>
      <c r="E26" s="43"/>
      <c r="F26" s="62"/>
      <c r="G26" s="61"/>
      <c r="H26" s="60"/>
      <c r="I26" s="59"/>
      <c r="J26" s="52"/>
    </row>
    <row r="27" spans="1:10" ht="18.75" customHeight="1" thickBot="1">
      <c r="A27" s="58"/>
      <c r="B27" s="56"/>
      <c r="C27" s="56"/>
      <c r="D27" s="56"/>
      <c r="E27" s="57"/>
      <c r="F27" s="56"/>
      <c r="G27" s="55"/>
      <c r="H27" s="54"/>
      <c r="I27" s="53">
        <f>I25+I26</f>
        <v>16130000</v>
      </c>
      <c r="J27" s="52"/>
    </row>
    <row r="28" spans="1:10" ht="15.75" thickTop="1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Bot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Top="1">
      <c r="A30" s="51" t="s">
        <v>9</v>
      </c>
      <c r="B30" s="50">
        <f>+E30/I25</f>
        <v>8.6794792312461247E-2</v>
      </c>
      <c r="C30" s="49"/>
      <c r="D30" s="48"/>
      <c r="E30" s="47">
        <v>1400000</v>
      </c>
      <c r="F30" s="12"/>
      <c r="G30" s="11"/>
      <c r="H30" s="11"/>
      <c r="I30" s="10"/>
    </row>
    <row r="31" spans="1:10">
      <c r="A31" s="46" t="s">
        <v>8</v>
      </c>
      <c r="B31" s="45">
        <f>+E31/I25</f>
        <v>0.91320520768753877</v>
      </c>
      <c r="C31" s="44"/>
      <c r="D31" s="43"/>
      <c r="E31" s="42">
        <f>E32 - E30</f>
        <v>14730000</v>
      </c>
      <c r="F31" s="12"/>
      <c r="G31" s="11"/>
      <c r="H31" s="11"/>
      <c r="I31" s="10"/>
    </row>
    <row r="32" spans="1:10">
      <c r="A32" s="41" t="s">
        <v>7</v>
      </c>
      <c r="B32" s="40">
        <f>SUM(B30:B31)</f>
        <v>1</v>
      </c>
      <c r="C32" s="39"/>
      <c r="D32" s="38"/>
      <c r="E32" s="37">
        <f>I25</f>
        <v>16130000</v>
      </c>
      <c r="F32" s="12"/>
      <c r="G32" s="11"/>
      <c r="H32" s="11"/>
      <c r="I32" s="10"/>
    </row>
    <row r="33" spans="1:9">
      <c r="A33" s="32"/>
      <c r="B33" s="31"/>
      <c r="C33" s="36"/>
      <c r="D33" s="35"/>
      <c r="E33" s="34"/>
      <c r="F33" s="12"/>
      <c r="G33" s="11"/>
      <c r="H33" s="11"/>
      <c r="I33" s="10"/>
    </row>
    <row r="34" spans="1:9">
      <c r="A34" s="32" t="s">
        <v>6</v>
      </c>
      <c r="B34" s="31"/>
      <c r="C34" s="30"/>
      <c r="D34" s="29"/>
      <c r="E34" s="33">
        <f>+I22</f>
        <v>161272.48250000001</v>
      </c>
      <c r="F34" s="12"/>
      <c r="G34" s="11"/>
      <c r="H34" s="11"/>
      <c r="I34" s="10"/>
    </row>
    <row r="35" spans="1:9">
      <c r="A35" s="32" t="s">
        <v>5</v>
      </c>
      <c r="B35" s="31"/>
      <c r="C35" s="30"/>
      <c r="D35" s="29"/>
      <c r="E35" s="28">
        <f>PMT(B37/12,B36*12,E30)</f>
        <v>-19683.362157057247</v>
      </c>
      <c r="F35" s="12"/>
      <c r="G35" s="11"/>
      <c r="H35" s="11"/>
      <c r="I35" s="10"/>
    </row>
    <row r="36" spans="1:9">
      <c r="A36" s="27" t="s">
        <v>4</v>
      </c>
      <c r="B36" s="26">
        <v>10</v>
      </c>
      <c r="C36" s="25" t="s">
        <v>3</v>
      </c>
      <c r="D36" s="24"/>
      <c r="E36" s="23"/>
      <c r="F36" s="12"/>
      <c r="G36" s="11"/>
      <c r="H36" s="11"/>
      <c r="I36" s="10"/>
    </row>
    <row r="37" spans="1:9">
      <c r="A37" s="22" t="s">
        <v>2</v>
      </c>
      <c r="B37" s="21">
        <v>0.115</v>
      </c>
      <c r="C37" s="20" t="s">
        <v>1</v>
      </c>
      <c r="D37" s="19"/>
      <c r="E37" s="18"/>
      <c r="F37" s="12"/>
      <c r="G37" s="11"/>
      <c r="H37" s="11"/>
      <c r="I37" s="10"/>
    </row>
    <row r="38" spans="1:9" ht="15.75" thickBot="1">
      <c r="A38" s="17" t="s">
        <v>0</v>
      </c>
      <c r="B38" s="16"/>
      <c r="C38" s="15"/>
      <c r="D38" s="14"/>
      <c r="E38" s="13">
        <f>SUM(E34:E37)</f>
        <v>141589.12034294277</v>
      </c>
      <c r="F38" s="12"/>
      <c r="G38" s="11"/>
      <c r="H38" s="11"/>
      <c r="I38" s="10"/>
    </row>
    <row r="39" spans="1:9" ht="15.75" thickTop="1">
      <c r="A39" s="8"/>
      <c r="B39" s="9"/>
      <c r="C39" s="9"/>
      <c r="D39" s="9"/>
      <c r="E39" s="8"/>
      <c r="F39" s="8"/>
      <c r="G39" s="3"/>
      <c r="H39" s="3"/>
      <c r="I39" s="7"/>
    </row>
    <row r="40" spans="1:9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B41" s="5"/>
      <c r="C41" s="5"/>
      <c r="D41" s="5"/>
      <c r="F41" s="2"/>
      <c r="G41" s="3"/>
      <c r="H41" s="3"/>
      <c r="I41" s="7"/>
    </row>
    <row r="42" spans="1:9">
      <c r="B42" s="5"/>
      <c r="C42" s="5"/>
      <c r="D42" s="5"/>
      <c r="F42" s="2"/>
      <c r="G42" s="3"/>
      <c r="H42" s="3"/>
    </row>
    <row r="43" spans="1:9">
      <c r="B43" s="5"/>
      <c r="C43" s="5"/>
      <c r="D43" s="5"/>
      <c r="F43" s="2"/>
      <c r="G43" s="3"/>
      <c r="H43" s="3"/>
    </row>
    <row r="44" spans="1:9">
      <c r="B44" s="6"/>
      <c r="C44" s="5"/>
      <c r="D44" s="5"/>
      <c r="F44" s="2"/>
      <c r="G44" s="3"/>
      <c r="H44" s="3"/>
    </row>
    <row r="45" spans="1:9">
      <c r="B45" s="5"/>
      <c r="C45" s="5"/>
      <c r="D45" s="5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</sheetData>
  <pageMargins left="0.70866141732283472" right="0.70866141732283472" top="0.74803149606299213" bottom="0.74803149606299213" header="0.31496062992125984" footer="0.31496062992125984"/>
  <pageSetup scale="62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2011-08-24T11:43:24Z</dcterms:created>
  <dcterms:modified xsi:type="dcterms:W3CDTF">2011-08-24T11:49:24Z</dcterms:modified>
</cp:coreProperties>
</file>