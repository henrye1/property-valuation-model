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4" i="1" l="1"/>
  <c r="I13" i="1" s="1"/>
  <c r="G13" i="1" s="1"/>
  <c r="F13" i="1"/>
  <c r="I19" i="1"/>
  <c r="F20" i="1"/>
  <c r="I20" i="1"/>
  <c r="I21" i="1" s="1"/>
  <c r="I22" i="1" s="1"/>
  <c r="E24" i="1"/>
  <c r="F24" i="1"/>
  <c r="G24" i="1"/>
  <c r="H24" i="1" l="1"/>
  <c r="I25" i="1"/>
  <c r="I27" i="1"/>
  <c r="I28" i="1" l="1"/>
  <c r="I29" i="1" s="1"/>
  <c r="I26" i="1"/>
</calcChain>
</file>

<file path=xl/sharedStrings.xml><?xml version="1.0" encoding="utf-8"?>
<sst xmlns="http://schemas.openxmlformats.org/spreadsheetml/2006/main" count="38" uniqueCount="35">
  <si>
    <t>CONTRIER</t>
  </si>
  <si>
    <t>Open market assessment</t>
  </si>
  <si>
    <t>Capitalised @</t>
  </si>
  <si>
    <t>Annual net income</t>
  </si>
  <si>
    <t>Monthly net income</t>
  </si>
  <si>
    <t>\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</si>
  <si>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</si>
  <si>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</si>
  <si>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</si>
  <si>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</si>
  <si>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</si>
  <si>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</si>
  <si>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</si>
  <si>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</si>
  <si>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shade</t>
  </si>
  <si>
    <t>Covered</t>
  </si>
  <si>
    <t>Open</t>
  </si>
  <si>
    <t>R/bay</t>
  </si>
  <si>
    <t>No. bays</t>
  </si>
  <si>
    <t>Parking</t>
  </si>
  <si>
    <t>n/a</t>
  </si>
  <si>
    <t>N/A</t>
  </si>
  <si>
    <t>Wesbank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</si>
  <si>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</si>
  <si>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</si>
  <si>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</si>
  <si>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</si>
  <si>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</si>
  <si>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</si>
  <si>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</si>
  <si>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</si>
  <si>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</si>
  <si>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</si>
  <si>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George  Nicholaas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</si>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</sst>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4</xdr:row>
      <xdr:rowOff>38101</xdr:rowOff>
    </xdr:from>
    <xdr:ext cx="5133975" cy="914400"/>
    <xdr:sp macro="" textlink="">
      <xdr:nvSpPr>
        <xdr:cNvPr id="2" name="Rectangle 1"/>
        <xdr:cNvSpPr/>
      </xdr:nvSpPr>
      <xdr:spPr>
        <a:xfrm>
          <a:off x="171450" y="80010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0</xdr:col>
      <xdr:colOff>1352550</xdr:colOff>
      <xdr:row>5</xdr:row>
      <xdr:rowOff>123826</xdr:rowOff>
    </xdr:from>
    <xdr:ext cx="7537346" cy="352424"/>
    <xdr:sp macro="" textlink="">
      <xdr:nvSpPr>
        <xdr:cNvPr id="3" name="Rectangle 2"/>
        <xdr:cNvSpPr/>
      </xdr:nvSpPr>
      <xdr:spPr>
        <a:xfrm>
          <a:off x="609600" y="1076326"/>
          <a:ext cx="7537346" cy="352424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endParaRPr lang="en-US" sz="54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81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 x14ac:dyDescent="0.25">
      <c r="A1" s="126" t="s">
        <v>34</v>
      </c>
      <c r="B1" s="125" t="s">
        <v>33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 x14ac:dyDescent="0.3">
      <c r="A2" s="122" t="s">
        <v>32</v>
      </c>
      <c r="B2" s="120"/>
      <c r="C2" s="120"/>
      <c r="D2" s="120"/>
      <c r="E2" s="121">
        <v>40752</v>
      </c>
      <c r="F2" s="120"/>
      <c r="G2" s="120"/>
      <c r="H2" s="120"/>
      <c r="I2" s="119"/>
      <c r="J2" s="10"/>
    </row>
    <row r="3" spans="1:13" s="1" customFormat="1" ht="63.75" customHeight="1" thickBot="1" x14ac:dyDescent="0.3">
      <c r="A3" s="118" t="s">
        <v>31</v>
      </c>
      <c r="B3" s="117" t="s">
        <v>30</v>
      </c>
      <c r="C3" s="117" t="s">
        <v>29</v>
      </c>
      <c r="D3" s="117" t="s">
        <v>28</v>
      </c>
      <c r="E3" s="117" t="s">
        <v>27</v>
      </c>
      <c r="F3" s="116" t="s">
        <v>26</v>
      </c>
      <c r="G3" s="115" t="s">
        <v>25</v>
      </c>
      <c r="H3" s="114" t="s">
        <v>24</v>
      </c>
      <c r="I3" s="113" t="s">
        <v>23</v>
      </c>
      <c r="J3" s="10"/>
    </row>
    <row r="4" spans="1:13" s="1" customFormat="1" x14ac:dyDescent="0.25">
      <c r="A4" s="110" t="s">
        <v>22</v>
      </c>
      <c r="B4" s="110"/>
      <c r="C4" s="103" t="s">
        <v>21</v>
      </c>
      <c r="D4" s="103" t="s">
        <v>20</v>
      </c>
      <c r="E4" s="103" t="s">
        <v>20</v>
      </c>
      <c r="F4" s="112">
        <v>742</v>
      </c>
      <c r="G4" s="107">
        <v>80.790000000000006</v>
      </c>
      <c r="H4" s="106"/>
      <c r="I4" s="99">
        <f>G4*F4</f>
        <v>59946.180000000008</v>
      </c>
      <c r="J4" s="10"/>
      <c r="L4" s="93"/>
      <c r="M4" s="92"/>
    </row>
    <row r="5" spans="1:13" s="1" customFormat="1" x14ac:dyDescent="0.25">
      <c r="A5" s="110"/>
      <c r="B5" s="110"/>
      <c r="C5" s="103"/>
      <c r="D5" s="103"/>
      <c r="E5" s="103"/>
      <c r="F5" s="111"/>
      <c r="G5" s="107"/>
      <c r="H5" s="106"/>
      <c r="I5" s="99"/>
      <c r="J5" s="10"/>
      <c r="L5" s="93"/>
      <c r="M5" s="92"/>
    </row>
    <row r="6" spans="1:13" s="1" customFormat="1" x14ac:dyDescent="0.25">
      <c r="A6" s="110"/>
      <c r="B6" s="110"/>
      <c r="C6" s="103"/>
      <c r="D6" s="103"/>
      <c r="E6" s="103"/>
      <c r="F6" s="111"/>
      <c r="G6" s="107"/>
      <c r="H6" s="106"/>
      <c r="I6" s="99"/>
      <c r="J6" s="10"/>
      <c r="L6" s="93"/>
      <c r="M6" s="92"/>
    </row>
    <row r="7" spans="1:13" s="1" customFormat="1" x14ac:dyDescent="0.25">
      <c r="A7" s="110"/>
      <c r="B7" s="109"/>
      <c r="C7" s="103"/>
      <c r="D7" s="103"/>
      <c r="E7" s="103"/>
      <c r="F7" s="111"/>
      <c r="G7" s="107"/>
      <c r="H7" s="106"/>
      <c r="I7" s="99"/>
      <c r="J7" s="10"/>
      <c r="L7" s="93"/>
      <c r="M7" s="92"/>
    </row>
    <row r="8" spans="1:13" s="1" customFormat="1" x14ac:dyDescent="0.25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3" s="1" customFormat="1" x14ac:dyDescent="0.25">
      <c r="A9" s="110"/>
      <c r="B9" s="109"/>
      <c r="C9" s="103"/>
      <c r="D9" s="103"/>
      <c r="E9" s="103"/>
      <c r="F9" s="108"/>
      <c r="G9" s="107"/>
      <c r="H9" s="106"/>
      <c r="I9" s="99"/>
      <c r="J9" s="10"/>
      <c r="K9" s="2"/>
      <c r="L9" s="93"/>
      <c r="M9" s="92"/>
    </row>
    <row r="10" spans="1:13" s="1" customFormat="1" x14ac:dyDescent="0.25">
      <c r="A10" s="110"/>
      <c r="B10" s="109"/>
      <c r="C10" s="103"/>
      <c r="D10" s="103"/>
      <c r="E10" s="103"/>
      <c r="F10" s="108"/>
      <c r="G10" s="107"/>
      <c r="H10" s="106"/>
      <c r="I10" s="99"/>
      <c r="J10" s="10"/>
      <c r="K10" s="2"/>
      <c r="L10" s="93"/>
      <c r="M10" s="92"/>
    </row>
    <row r="11" spans="1:13" s="1" customFormat="1" x14ac:dyDescent="0.25">
      <c r="A11" s="110"/>
      <c r="B11" s="109"/>
      <c r="C11" s="103"/>
      <c r="D11" s="103"/>
      <c r="E11" s="103"/>
      <c r="F11" s="108"/>
      <c r="G11" s="107"/>
      <c r="H11" s="106"/>
      <c r="I11" s="99"/>
      <c r="J11" s="10"/>
      <c r="K11" s="2"/>
      <c r="L11" s="93"/>
      <c r="M11" s="92"/>
    </row>
    <row r="12" spans="1:13" s="1" customFormat="1" ht="15.75" thickBot="1" x14ac:dyDescent="0.3">
      <c r="A12" s="105"/>
      <c r="B12" s="104"/>
      <c r="C12" s="84"/>
      <c r="D12" s="103"/>
      <c r="E12" s="103"/>
      <c r="F12" s="102"/>
      <c r="G12" s="101"/>
      <c r="H12" s="100"/>
      <c r="I12" s="99"/>
      <c r="J12" s="10"/>
      <c r="L12" s="93"/>
      <c r="M12" s="92"/>
    </row>
    <row r="13" spans="1:13" s="1" customFormat="1" x14ac:dyDescent="0.25">
      <c r="A13" s="98" t="s">
        <v>7</v>
      </c>
      <c r="B13" s="76"/>
      <c r="C13" s="97"/>
      <c r="D13" s="97"/>
      <c r="E13" s="97"/>
      <c r="F13" s="96">
        <f>SUM(F4:F12)</f>
        <v>742</v>
      </c>
      <c r="G13" s="95">
        <f>I13/F13</f>
        <v>80.790000000000006</v>
      </c>
      <c r="H13" s="94">
        <v>0</v>
      </c>
      <c r="I13" s="94">
        <f>SUM(I4:I12)</f>
        <v>59946.180000000008</v>
      </c>
      <c r="J13" s="10"/>
      <c r="L13" s="93"/>
      <c r="M13" s="92"/>
    </row>
    <row r="14" spans="1:13" s="1" customFormat="1" x14ac:dyDescent="0.25">
      <c r="A14" s="91"/>
      <c r="B14" s="90"/>
      <c r="C14" s="90"/>
      <c r="D14" s="90"/>
      <c r="E14" s="89"/>
      <c r="F14" s="88"/>
      <c r="G14" s="87"/>
      <c r="H14" s="73"/>
      <c r="I14" s="72"/>
      <c r="J14" s="10"/>
    </row>
    <row r="15" spans="1:13" s="1" customFormat="1" x14ac:dyDescent="0.25">
      <c r="A15" s="86" t="s">
        <v>19</v>
      </c>
      <c r="B15" s="85"/>
      <c r="C15" s="85"/>
      <c r="D15" s="85"/>
      <c r="E15" s="84"/>
      <c r="F15" s="83" t="s">
        <v>18</v>
      </c>
      <c r="G15" s="82" t="s">
        <v>17</v>
      </c>
      <c r="H15" s="73"/>
      <c r="I15" s="72"/>
      <c r="J15" s="10"/>
    </row>
    <row r="16" spans="1:13" s="1" customFormat="1" x14ac:dyDescent="0.25">
      <c r="A16" s="81"/>
      <c r="B16" s="80"/>
      <c r="C16" s="80"/>
      <c r="D16" s="80"/>
      <c r="E16" s="79"/>
      <c r="F16" s="75"/>
      <c r="G16" s="74"/>
      <c r="H16" s="73"/>
      <c r="I16" s="72"/>
      <c r="J16" s="10"/>
    </row>
    <row r="17" spans="1:15" s="1" customFormat="1" x14ac:dyDescent="0.25">
      <c r="A17" s="81"/>
      <c r="B17" s="80"/>
      <c r="C17" s="80"/>
      <c r="D17" s="80"/>
      <c r="E17" s="79" t="s">
        <v>16</v>
      </c>
      <c r="F17" s="75">
        <v>0</v>
      </c>
      <c r="G17" s="74">
        <v>0</v>
      </c>
      <c r="H17" s="73"/>
      <c r="I17" s="72">
        <v>0</v>
      </c>
      <c r="J17" s="10"/>
    </row>
    <row r="18" spans="1:15" s="1" customFormat="1" x14ac:dyDescent="0.25">
      <c r="A18" s="81"/>
      <c r="B18" s="80"/>
      <c r="C18" s="80"/>
      <c r="D18" s="80"/>
      <c r="E18" s="79" t="s">
        <v>15</v>
      </c>
      <c r="F18" s="75"/>
      <c r="G18" s="74"/>
      <c r="H18" s="73"/>
      <c r="I18" s="72"/>
      <c r="J18" s="10"/>
    </row>
    <row r="19" spans="1:15" s="1" customFormat="1" x14ac:dyDescent="0.25">
      <c r="A19" s="78"/>
      <c r="B19" s="77"/>
      <c r="C19" s="77"/>
      <c r="D19" s="77"/>
      <c r="E19" s="76" t="s">
        <v>14</v>
      </c>
      <c r="F19" s="75">
        <v>0</v>
      </c>
      <c r="G19" s="74">
        <v>0</v>
      </c>
      <c r="H19" s="73"/>
      <c r="I19" s="72">
        <f>G19*F19</f>
        <v>0</v>
      </c>
      <c r="J19" s="10"/>
    </row>
    <row r="20" spans="1:15" customFormat="1" ht="15.75" thickBot="1" x14ac:dyDescent="0.3">
      <c r="A20" s="71" t="s">
        <v>7</v>
      </c>
      <c r="B20" s="70"/>
      <c r="C20" s="70"/>
      <c r="D20" s="70"/>
      <c r="E20" s="69"/>
      <c r="F20" s="68">
        <f>SUM(F16:F19)</f>
        <v>0</v>
      </c>
      <c r="G20" s="67">
        <v>0</v>
      </c>
      <c r="H20" s="66"/>
      <c r="I20" s="65">
        <f>SUM(I16:I19)</f>
        <v>0</v>
      </c>
      <c r="J20" s="10"/>
      <c r="K20" s="1"/>
      <c r="L20" s="1"/>
      <c r="M20" s="1"/>
      <c r="N20" s="1"/>
      <c r="O20" s="1"/>
    </row>
    <row r="21" spans="1:15" customFormat="1" ht="18.75" customHeight="1" thickBot="1" x14ac:dyDescent="0.3">
      <c r="A21" s="64" t="s">
        <v>13</v>
      </c>
      <c r="B21" s="63"/>
      <c r="C21" s="63"/>
      <c r="D21" s="63"/>
      <c r="E21" s="62"/>
      <c r="F21" s="61"/>
      <c r="G21" s="60"/>
      <c r="H21" s="55"/>
      <c r="I21" s="53">
        <f>+I20+I13</f>
        <v>59946.180000000008</v>
      </c>
      <c r="J21" s="10"/>
      <c r="K21" s="1"/>
      <c r="L21" s="26"/>
      <c r="M21" s="1"/>
      <c r="N21" s="1"/>
      <c r="O21" s="1"/>
    </row>
    <row r="22" spans="1:15" customFormat="1" ht="18.75" customHeight="1" thickBot="1" x14ac:dyDescent="0.3">
      <c r="A22" s="59" t="s">
        <v>12</v>
      </c>
      <c r="B22" s="58"/>
      <c r="C22" s="58"/>
      <c r="D22" s="58"/>
      <c r="E22" s="57"/>
      <c r="F22" s="56"/>
      <c r="G22" s="55"/>
      <c r="H22" s="54"/>
      <c r="I22" s="53">
        <f>+I21*12</f>
        <v>719354.16000000015</v>
      </c>
      <c r="J22" s="10"/>
      <c r="K22" s="1"/>
      <c r="L22" s="1"/>
      <c r="M22" s="1"/>
      <c r="N22" s="1"/>
      <c r="O22" s="1"/>
    </row>
    <row r="23" spans="1:15" customFormat="1" ht="18.75" customHeight="1" x14ac:dyDescent="0.25">
      <c r="A23" s="52" t="s">
        <v>11</v>
      </c>
      <c r="B23" s="51"/>
      <c r="C23" s="51"/>
      <c r="D23" s="51"/>
      <c r="E23" s="50" t="s">
        <v>10</v>
      </c>
      <c r="F23" s="50" t="s">
        <v>9</v>
      </c>
      <c r="G23" s="49" t="s">
        <v>8</v>
      </c>
      <c r="H23" s="48"/>
      <c r="I23" s="47"/>
      <c r="J23" s="10"/>
      <c r="K23" s="1"/>
      <c r="L23" s="1"/>
      <c r="M23" s="1"/>
      <c r="N23" s="1"/>
      <c r="O23" s="1"/>
    </row>
    <row r="24" spans="1:15" customFormat="1" ht="15.75" thickBot="1" x14ac:dyDescent="0.3">
      <c r="A24" s="46" t="s">
        <v>7</v>
      </c>
      <c r="B24" s="45"/>
      <c r="C24" s="45"/>
      <c r="D24" s="45"/>
      <c r="E24" s="44">
        <f>93569/12</f>
        <v>7797.416666666667</v>
      </c>
      <c r="F24" s="44">
        <f>E24*12</f>
        <v>93569</v>
      </c>
      <c r="G24" s="43">
        <f>E24/F13</f>
        <v>10.508647798742139</v>
      </c>
      <c r="H24" s="42">
        <f>F24/I22</f>
        <v>0.13007362048201679</v>
      </c>
      <c r="I24" s="41"/>
      <c r="J24" s="10"/>
      <c r="K24" s="1"/>
      <c r="L24" s="26"/>
      <c r="M24" s="1"/>
      <c r="N24" s="1"/>
      <c r="O24" s="26"/>
    </row>
    <row r="25" spans="1:15" customFormat="1" ht="18.75" customHeight="1" x14ac:dyDescent="0.25">
      <c r="A25" s="40" t="s">
        <v>6</v>
      </c>
      <c r="B25" s="39"/>
      <c r="C25" s="39"/>
      <c r="D25" s="39"/>
      <c r="E25" s="38" t="s">
        <v>5</v>
      </c>
      <c r="F25" s="37"/>
      <c r="G25" s="36"/>
      <c r="H25" s="35">
        <v>0</v>
      </c>
      <c r="I25" s="34">
        <f>+I22*-H25</f>
        <v>0</v>
      </c>
      <c r="J25" s="10"/>
      <c r="K25" s="1"/>
      <c r="L25" s="1"/>
      <c r="M25" s="1"/>
      <c r="N25" s="1"/>
      <c r="O25" s="26"/>
    </row>
    <row r="26" spans="1:15" customFormat="1" ht="18.75" customHeight="1" x14ac:dyDescent="0.25">
      <c r="A26" s="33" t="s">
        <v>4</v>
      </c>
      <c r="B26" s="32"/>
      <c r="C26" s="32"/>
      <c r="D26" s="32"/>
      <c r="E26" s="31"/>
      <c r="F26" s="30"/>
      <c r="G26" s="29"/>
      <c r="H26" s="28"/>
      <c r="I26" s="27">
        <f>+I27/12</f>
        <v>52148.763333333343</v>
      </c>
      <c r="J26" s="10"/>
      <c r="K26" s="1"/>
      <c r="L26" s="1"/>
      <c r="M26" s="1"/>
      <c r="N26" s="1"/>
      <c r="O26" s="26"/>
    </row>
    <row r="27" spans="1:15" customFormat="1" ht="18.75" customHeight="1" x14ac:dyDescent="0.25">
      <c r="A27" s="22" t="s">
        <v>3</v>
      </c>
      <c r="B27" s="20"/>
      <c r="C27" s="20"/>
      <c r="D27" s="20"/>
      <c r="E27" s="21"/>
      <c r="F27" s="21"/>
      <c r="G27" s="25"/>
      <c r="H27" s="18"/>
      <c r="I27" s="23">
        <f>+I22-F24+I25</f>
        <v>625785.16000000015</v>
      </c>
      <c r="J27" s="10"/>
      <c r="K27" s="1"/>
      <c r="L27" s="1"/>
      <c r="M27" s="1"/>
      <c r="N27" s="1"/>
      <c r="O27" s="1"/>
    </row>
    <row r="28" spans="1:15" customFormat="1" ht="18.75" customHeight="1" x14ac:dyDescent="0.25">
      <c r="A28" s="22" t="s">
        <v>2</v>
      </c>
      <c r="B28" s="20"/>
      <c r="C28" s="20"/>
      <c r="D28" s="20"/>
      <c r="E28" s="21"/>
      <c r="F28" s="21"/>
      <c r="G28" s="24"/>
      <c r="H28" s="18">
        <v>0.14000000000000001</v>
      </c>
      <c r="I28" s="23">
        <f>+I27/H28</f>
        <v>4469894.0000000009</v>
      </c>
      <c r="J28" s="10"/>
      <c r="K28" s="1"/>
      <c r="L28" s="1"/>
      <c r="M28" s="1"/>
      <c r="N28" s="1"/>
      <c r="O28" s="1"/>
    </row>
    <row r="29" spans="1:15" customFormat="1" ht="18.75" customHeight="1" x14ac:dyDescent="0.25">
      <c r="A29" s="22" t="s">
        <v>1</v>
      </c>
      <c r="B29" s="20"/>
      <c r="C29" s="20"/>
      <c r="D29" s="20"/>
      <c r="E29" s="21"/>
      <c r="F29" s="20"/>
      <c r="G29" s="19"/>
      <c r="H29" s="18"/>
      <c r="I29" s="17">
        <f>ROUND(I28,-4)</f>
        <v>4470000</v>
      </c>
      <c r="J29" s="10"/>
      <c r="K29" s="1"/>
      <c r="L29" s="1"/>
      <c r="M29" s="1"/>
      <c r="N29" s="1"/>
      <c r="O29" s="1"/>
    </row>
    <row r="30" spans="1:15" customFormat="1" ht="39" customHeight="1" thickBot="1" x14ac:dyDescent="0.3">
      <c r="A30" s="16"/>
      <c r="B30" s="14"/>
      <c r="C30" s="14"/>
      <c r="D30" s="14"/>
      <c r="E30" s="15"/>
      <c r="F30" s="14"/>
      <c r="G30" s="13"/>
      <c r="H30" s="12"/>
      <c r="I30" s="11"/>
      <c r="J30" s="10"/>
      <c r="K30" s="1"/>
      <c r="L30" s="9"/>
      <c r="M30" s="1"/>
      <c r="N30" s="1"/>
      <c r="O30" s="1"/>
    </row>
    <row r="31" spans="1:15" customFormat="1" ht="15.75" thickTop="1" x14ac:dyDescent="0.25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 x14ac:dyDescent="0.25">
      <c r="A32" s="2" t="s">
        <v>0</v>
      </c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7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s="1" customFormat="1" x14ac:dyDescent="0.25">
      <c r="A52" s="2"/>
      <c r="F52" s="3"/>
      <c r="G52" s="4"/>
      <c r="H52" s="4"/>
    </row>
    <row r="53" spans="1:15" s="1" customFormat="1" x14ac:dyDescent="0.25">
      <c r="A53" s="2"/>
      <c r="F53" s="3"/>
      <c r="G53" s="4"/>
      <c r="H53" s="4"/>
    </row>
    <row r="54" spans="1:15" s="1" customFormat="1" x14ac:dyDescent="0.25">
      <c r="A54" s="2"/>
      <c r="F54" s="3"/>
      <c r="G54" s="4"/>
      <c r="H54" s="4"/>
    </row>
    <row r="55" spans="1:15" s="1" customFormat="1" x14ac:dyDescent="0.25">
      <c r="A55" s="2"/>
      <c r="F55" s="3"/>
      <c r="G55" s="4"/>
      <c r="H55" s="4"/>
    </row>
    <row r="56" spans="1:15" s="1" customFormat="1" x14ac:dyDescent="0.25">
      <c r="A56" s="2"/>
      <c r="F56" s="3"/>
      <c r="G56" s="4"/>
      <c r="H56" s="4"/>
    </row>
    <row r="57" spans="1:15" s="1" customFormat="1" x14ac:dyDescent="0.25">
      <c r="A57" s="2"/>
      <c r="F57" s="3"/>
      <c r="G57" s="4"/>
      <c r="H57" s="4"/>
    </row>
    <row r="58" spans="1:15" s="1" customFormat="1" x14ac:dyDescent="0.25">
      <c r="A58" s="2"/>
      <c r="F58" s="3"/>
      <c r="G58" s="4"/>
      <c r="H58" s="4"/>
    </row>
    <row r="59" spans="1:15" s="1" customFormat="1" x14ac:dyDescent="0.25">
      <c r="A59" s="2"/>
      <c r="F59" s="3"/>
      <c r="G59" s="4"/>
      <c r="H59" s="4"/>
    </row>
    <row r="60" spans="1:15" s="1" customFormat="1" x14ac:dyDescent="0.25">
      <c r="A60" s="2"/>
      <c r="F60" s="3"/>
      <c r="G60" s="4"/>
      <c r="H60" s="4"/>
    </row>
    <row r="61" spans="1:15" s="1" customFormat="1" x14ac:dyDescent="0.25">
      <c r="A61" s="2"/>
      <c r="F61" s="3"/>
      <c r="G61" s="4"/>
      <c r="H61" s="4"/>
    </row>
    <row r="62" spans="1:15" s="1" customFormat="1" x14ac:dyDescent="0.25">
      <c r="A62" s="2"/>
      <c r="F62" s="3"/>
      <c r="G62" s="4"/>
      <c r="H62" s="4"/>
    </row>
    <row r="63" spans="1:15" s="1" customFormat="1" x14ac:dyDescent="0.25">
      <c r="A63" s="2"/>
      <c r="F63" s="3"/>
      <c r="G63" s="4"/>
      <c r="H63" s="4"/>
    </row>
    <row r="64" spans="1:15" s="1" customFormat="1" x14ac:dyDescent="0.25">
      <c r="A64" s="2"/>
      <c r="F64" s="3"/>
      <c r="G64" s="4"/>
      <c r="H64" s="4"/>
    </row>
    <row r="65" spans="6:8" s="1" customFormat="1" x14ac:dyDescent="0.25">
      <c r="F65" s="3"/>
      <c r="G65" s="4"/>
      <c r="H65" s="4"/>
    </row>
    <row r="66" spans="6:8" s="1" customFormat="1" x14ac:dyDescent="0.25">
      <c r="F66" s="3"/>
      <c r="G66" s="4"/>
      <c r="H66" s="4"/>
    </row>
    <row r="67" spans="6:8" s="1" customFormat="1" x14ac:dyDescent="0.25">
      <c r="F67" s="3"/>
      <c r="G67" s="4"/>
      <c r="H67" s="4"/>
    </row>
    <row r="68" spans="6:8" s="1" customFormat="1" x14ac:dyDescent="0.25">
      <c r="F68" s="3"/>
      <c r="G68" s="4"/>
      <c r="H68" s="4"/>
    </row>
    <row r="69" spans="6:8" s="1" customFormat="1" x14ac:dyDescent="0.25">
      <c r="F69" s="3"/>
      <c r="G69" s="4"/>
      <c r="H69" s="4"/>
    </row>
    <row r="70" spans="6:8" s="1" customFormat="1" x14ac:dyDescent="0.25">
      <c r="F70" s="3"/>
      <c r="G70" s="4"/>
      <c r="H70" s="4"/>
    </row>
    <row r="71" spans="6:8" s="1" customFormat="1" x14ac:dyDescent="0.25">
      <c r="F71" s="3"/>
      <c r="G71" s="4"/>
      <c r="H71" s="4"/>
    </row>
    <row r="72" spans="6:8" s="1" customFormat="1" x14ac:dyDescent="0.25">
      <c r="F72" s="3"/>
      <c r="G72" s="4"/>
      <c r="H72" s="4"/>
    </row>
    <row r="73" spans="6:8" s="1" customFormat="1" x14ac:dyDescent="0.25">
      <c r="F73" s="3"/>
      <c r="G73" s="4"/>
      <c r="H73" s="4"/>
    </row>
    <row r="74" spans="6:8" s="1" customFormat="1" x14ac:dyDescent="0.25">
      <c r="F74" s="3"/>
      <c r="G74" s="4"/>
      <c r="H74" s="4"/>
    </row>
    <row r="75" spans="6:8" s="1" customFormat="1" x14ac:dyDescent="0.25">
      <c r="F75" s="3"/>
      <c r="G75" s="4"/>
      <c r="H75" s="4"/>
    </row>
    <row r="76" spans="6:8" s="1" customFormat="1" x14ac:dyDescent="0.25">
      <c r="F76" s="3"/>
      <c r="G76" s="4"/>
      <c r="H76" s="4"/>
    </row>
    <row r="77" spans="6:8" s="1" customFormat="1" x14ac:dyDescent="0.25">
      <c r="F77" s="3"/>
      <c r="G77" s="4"/>
      <c r="H77" s="4"/>
    </row>
    <row r="78" spans="6:8" s="1" customFormat="1" x14ac:dyDescent="0.25">
      <c r="F78" s="3"/>
      <c r="G78" s="4"/>
      <c r="H78" s="4"/>
    </row>
    <row r="79" spans="6:8" s="1" customFormat="1" x14ac:dyDescent="0.25">
      <c r="F79" s="3"/>
      <c r="G79" s="4"/>
      <c r="H79" s="4"/>
    </row>
    <row r="80" spans="6:8" s="1" customFormat="1" x14ac:dyDescent="0.25"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  <c r="G94" s="4"/>
      <c r="H94" s="4"/>
    </row>
    <row r="95" spans="6:8" s="1" customFormat="1" x14ac:dyDescent="0.25">
      <c r="F95" s="3"/>
      <c r="G95" s="4"/>
      <c r="H95" s="4"/>
    </row>
    <row r="96" spans="6:8" s="1" customFormat="1" x14ac:dyDescent="0.25">
      <c r="F96" s="3"/>
      <c r="G96" s="4"/>
      <c r="H96" s="4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  <row r="179" spans="6:6" s="1" customFormat="1" x14ac:dyDescent="0.25">
      <c r="F179" s="3"/>
    </row>
    <row r="180" spans="6:6" s="1" customFormat="1" x14ac:dyDescent="0.25">
      <c r="F180" s="3"/>
    </row>
    <row r="181" spans="6:6" s="1" customFormat="1" x14ac:dyDescent="0.25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2011-08-24T12:27:16Z</dcterms:created>
  <dcterms:modified xsi:type="dcterms:W3CDTF">2011-08-24T12:27:30Z</dcterms:modified>
</cp:coreProperties>
</file>