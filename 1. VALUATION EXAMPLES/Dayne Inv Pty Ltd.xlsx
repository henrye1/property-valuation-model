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10" s="1"/>
  <c r="G10" s="1"/>
  <c r="F10"/>
  <c r="I14"/>
  <c r="I15"/>
  <c r="I16"/>
  <c r="I17" s="1"/>
  <c r="I18" s="1"/>
  <c r="I19" s="1"/>
  <c r="F17"/>
  <c r="F21"/>
  <c r="G21"/>
  <c r="I22" l="1"/>
  <c r="I24" s="1"/>
  <c r="H21"/>
  <c r="I25" l="1"/>
  <c r="I26" s="1"/>
  <c r="I23"/>
</calcChain>
</file>

<file path=xl/sharedStrings.xml><?xml version="1.0" encoding="utf-8"?>
<sst xmlns="http://schemas.openxmlformats.org/spreadsheetml/2006/main" count="42" uniqueCount="34">
  <si>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</si>
  <si>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</si>
  <si>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</si>
  <si>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</si>
  <si>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</si>
  <si>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</si>
  <si>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</si>
  <si>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</si>
  <si>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</si>
  <si>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</si>
  <si>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</si>
  <si>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</si>
  <si>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</si>
  <si>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</si>
  <si>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</si>
  <si>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</si>
  <si>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</si>
  <si>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</si>
  <si>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</si>
  <si>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warehouse and offices</t>
  </si>
  <si>
    <t>1st floor</t>
  </si>
  <si>
    <t>Ground floor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</si>
  <si>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</si>
  <si>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</si>
  <si>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</si>
  <si>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</si>
  <si>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</si>
  <si>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</si>
  <si>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</si>
  <si>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</si>
  <si>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</si>
  <si>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</si>
  <si>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Dayne Inv Pty Ltd</t>
  </si>
  <si>
    <t>Client Name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</si>
</sst>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33</v>
      </c>
      <c r="B1" s="125" t="s">
        <v>32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31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30</v>
      </c>
      <c r="B3" s="117" t="s">
        <v>29</v>
      </c>
      <c r="C3" s="117" t="s">
        <v>28</v>
      </c>
      <c r="D3" s="117" t="s">
        <v>27</v>
      </c>
      <c r="E3" s="117" t="s">
        <v>26</v>
      </c>
      <c r="F3" s="116" t="s">
        <v>25</v>
      </c>
      <c r="G3" s="115" t="s">
        <v>24</v>
      </c>
      <c r="H3" s="114" t="s">
        <v>23</v>
      </c>
      <c r="I3" s="113" t="s">
        <v>22</v>
      </c>
      <c r="J3" s="10"/>
    </row>
    <row r="4" spans="1:13" s="1" customFormat="1" ht="26.25">
      <c r="A4" s="110" t="s">
        <v>21</v>
      </c>
      <c r="B4" s="110" t="s">
        <v>19</v>
      </c>
      <c r="C4" s="103" t="s">
        <v>18</v>
      </c>
      <c r="D4" s="103" t="s">
        <v>18</v>
      </c>
      <c r="E4" s="103" t="s">
        <v>18</v>
      </c>
      <c r="F4" s="112">
        <v>968</v>
      </c>
      <c r="G4" s="107">
        <v>45</v>
      </c>
      <c r="H4" s="106"/>
      <c r="I4" s="99">
        <f>G4*F4</f>
        <v>43560</v>
      </c>
      <c r="J4" s="10"/>
      <c r="L4" s="93"/>
      <c r="M4" s="92"/>
    </row>
    <row r="5" spans="1:13" s="1" customFormat="1" ht="26.25">
      <c r="A5" s="110" t="s">
        <v>20</v>
      </c>
      <c r="B5" s="110" t="s">
        <v>19</v>
      </c>
      <c r="C5" s="103" t="s">
        <v>18</v>
      </c>
      <c r="D5" s="103" t="s">
        <v>18</v>
      </c>
      <c r="E5" s="103" t="s">
        <v>18</v>
      </c>
      <c r="F5" s="111">
        <v>293</v>
      </c>
      <c r="G5" s="107">
        <v>45</v>
      </c>
      <c r="H5" s="106"/>
      <c r="I5" s="99">
        <f>G5*F5</f>
        <v>13185</v>
      </c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1261</v>
      </c>
      <c r="G10" s="95">
        <f>I10/F10</f>
        <v>45</v>
      </c>
      <c r="H10" s="94">
        <v>0</v>
      </c>
      <c r="I10" s="94">
        <f>SUM(I4:I9)</f>
        <v>56745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0</v>
      </c>
      <c r="G15" s="74">
        <v>0</v>
      </c>
      <c r="H15" s="73"/>
      <c r="I15" s="72">
        <f>G15*F15</f>
        <v>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0</v>
      </c>
      <c r="G17" s="67"/>
      <c r="H17" s="66"/>
      <c r="I17" s="65">
        <f>SUM(I13:I16)</f>
        <v>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56745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680940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v>10215</v>
      </c>
      <c r="F21" s="44">
        <f>E21*12</f>
        <v>122580</v>
      </c>
      <c r="G21" s="43">
        <f>E21/F10</f>
        <v>8.1007137192704199</v>
      </c>
      <c r="H21" s="42">
        <f>F21/I19</f>
        <v>0.18001586042823156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0.01</v>
      </c>
      <c r="I22" s="34">
        <f>+I19*-H22</f>
        <v>-6809.4000000000005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45962.549999999996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551550.6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0.11</v>
      </c>
      <c r="I25" s="23">
        <f>+I24/H25</f>
        <v>5014096.3636363633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5010000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2011-08-24T12:16:23Z</dcterms:created>
  <dcterms:modified xsi:type="dcterms:W3CDTF">2011-08-24T12:19:05Z</dcterms:modified>
</cp:coreProperties>
</file>