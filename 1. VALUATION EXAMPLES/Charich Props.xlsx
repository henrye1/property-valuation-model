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60" windowWidth="17835" windowHeight="819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6"/>
  <c r="F17"/>
  <c r="I17"/>
  <c r="I18"/>
  <c r="I19" s="1"/>
  <c r="E21"/>
  <c r="G21" s="1"/>
  <c r="F21"/>
  <c r="I22" l="1"/>
  <c r="I24" s="1"/>
  <c r="H21"/>
  <c r="I25" l="1"/>
  <c r="I26" s="1"/>
  <c r="I23"/>
</calcChain>
</file>

<file path=xl/sharedStrings.xml><?xml version="1.0" encoding="utf-8"?>
<sst xmlns="http://schemas.openxmlformats.org/spreadsheetml/2006/main" count="41" uniqueCount="32">
  <si>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</si>
  <si>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</si>
  <si>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</si>
  <si>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</si>
  <si>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</si>
  <si>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</si>
  <si>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</si>
  <si>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</si>
  <si>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</si>
  <si>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</si>
  <si>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</si>
  <si>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</si>
  <si>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</si>
  <si>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</si>
  <si>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</si>
  <si>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</si>
  <si>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</si>
  <si>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</si>
  <si>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Mezzanine</t>
  </si>
  <si>
    <t>Offices and 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</si>
  <si>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</si>
  <si>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</si>
  <si>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</si>
  <si>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</si>
  <si>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</si>
  <si>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</si>
  <si>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</si>
  <si>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</si>
  <si>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</si>
  <si>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</si>
  <si>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Charich Props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</si>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</sst>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A4" sqref="A4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 ht="26.25">
      <c r="A4" s="116" t="s">
        <v>19</v>
      </c>
      <c r="B4" s="116" t="s">
        <v>19</v>
      </c>
      <c r="C4" s="109" t="s">
        <v>17</v>
      </c>
      <c r="D4" s="109" t="s">
        <v>17</v>
      </c>
      <c r="E4" s="109" t="s">
        <v>17</v>
      </c>
      <c r="F4" s="118">
        <v>632</v>
      </c>
      <c r="G4" s="113">
        <v>45</v>
      </c>
      <c r="H4" s="112"/>
      <c r="I4" s="105">
        <f>G4*F4</f>
        <v>28440</v>
      </c>
      <c r="J4" s="16"/>
      <c r="L4" s="99"/>
      <c r="M4" s="98"/>
    </row>
    <row r="5" spans="1:13" s="1" customFormat="1">
      <c r="A5" s="116" t="s">
        <v>18</v>
      </c>
      <c r="B5" s="116" t="s">
        <v>18</v>
      </c>
      <c r="C5" s="109" t="s">
        <v>17</v>
      </c>
      <c r="D5" s="109" t="s">
        <v>17</v>
      </c>
      <c r="E5" s="109" t="s">
        <v>17</v>
      </c>
      <c r="F5" s="117">
        <v>110</v>
      </c>
      <c r="G5" s="113">
        <v>20</v>
      </c>
      <c r="H5" s="112"/>
      <c r="I5" s="105">
        <f>G5*F5</f>
        <v>2200</v>
      </c>
      <c r="J5" s="16"/>
      <c r="L5" s="99"/>
      <c r="M5" s="98"/>
    </row>
    <row r="6" spans="1:13" s="1" customFormat="1">
      <c r="A6" s="116"/>
      <c r="B6" s="115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742</v>
      </c>
      <c r="G10" s="101">
        <f>I10/F10</f>
        <v>41.293800539083556</v>
      </c>
      <c r="H10" s="100">
        <v>0</v>
      </c>
      <c r="I10" s="100">
        <f>SUM(I4:I9)</f>
        <v>30640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30640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367680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68374/12</f>
        <v>5697.833333333333</v>
      </c>
      <c r="F21" s="50">
        <f>E21*12</f>
        <v>68374</v>
      </c>
      <c r="G21" s="49">
        <f>E21/F10</f>
        <v>7.6790206648697215</v>
      </c>
      <c r="H21" s="48">
        <f>F21/I19</f>
        <v>0.18596061792863358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-11030.4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24022.966666666664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288275.59999999998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0.105</v>
      </c>
      <c r="I25" s="29">
        <f>+I24/H25</f>
        <v>2745481.9047619049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2750000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2011-08-24T12:19:30Z</dcterms:created>
  <dcterms:modified xsi:type="dcterms:W3CDTF">2011-08-24T12:26:59Z</dcterms:modified>
</cp:coreProperties>
</file>