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80" yWindow="870" windowWidth="17355" windowHeight="768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10" s="1"/>
  <c r="G10" s="1"/>
  <c r="F10"/>
  <c r="I16"/>
  <c r="I17" s="1"/>
  <c r="F17"/>
  <c r="E21"/>
  <c r="F21" s="1"/>
  <c r="I18" l="1"/>
  <c r="I19" s="1"/>
  <c r="H21"/>
  <c r="G21"/>
  <c r="I22" l="1"/>
  <c r="I24"/>
  <c r="I23" l="1"/>
  <c r="I25"/>
  <c r="I26" s="1"/>
</calcChain>
</file>

<file path=xl/sharedStrings.xml><?xml version="1.0" encoding="utf-8"?>
<sst xmlns="http://schemas.openxmlformats.org/spreadsheetml/2006/main" count="42" uniqueCount="39">
  <si>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</si>
  <si>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</si>
  <si>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</si>
  <si>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</si>
  <si>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</si>
  <si>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</si>
  <si>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</si>
  <si>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</si>
  <si>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</si>
  <si>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</si>
  <si>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</si>
  <si>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</si>
  <si>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</si>
  <si>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structured</t>
  </si>
  <si>
    <t>Open</t>
  </si>
  <si>
    <t>R/bay</t>
  </si>
  <si>
    <t>No. bays</t>
  </si>
  <si>
    <t>Parking</t>
  </si>
  <si>
    <t>31/10/2013</t>
  </si>
  <si>
    <t>4 Years</t>
  </si>
  <si>
    <t>N/A</t>
  </si>
  <si>
    <t>ABSA</t>
  </si>
  <si>
    <t>ATM</t>
  </si>
  <si>
    <t>31/10/2018</t>
  </si>
  <si>
    <t>10 Years</t>
  </si>
  <si>
    <t>Retail</t>
  </si>
  <si>
    <t>Shoprite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</si>
  <si>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</si>
  <si>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</si>
  <si>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</si>
  <si>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</si>
  <si>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</si>
  <si>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</si>
  <si>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</si>
  <si>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</si>
  <si>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</si>
  <si>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</si>
  <si>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Dual Intake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</si>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</sst>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H1" sqref="H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38</v>
      </c>
      <c r="B1" s="125" t="s">
        <v>37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36</v>
      </c>
      <c r="B2" s="120"/>
      <c r="C2" s="120"/>
      <c r="D2" s="120"/>
      <c r="E2" s="121">
        <v>40744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35</v>
      </c>
      <c r="B3" s="117" t="s">
        <v>34</v>
      </c>
      <c r="C3" s="117" t="s">
        <v>33</v>
      </c>
      <c r="D3" s="117" t="s">
        <v>32</v>
      </c>
      <c r="E3" s="117" t="s">
        <v>31</v>
      </c>
      <c r="F3" s="116" t="s">
        <v>30</v>
      </c>
      <c r="G3" s="115" t="s">
        <v>29</v>
      </c>
      <c r="H3" s="114" t="s">
        <v>28</v>
      </c>
      <c r="I3" s="113" t="s">
        <v>27</v>
      </c>
      <c r="J3" s="10"/>
    </row>
    <row r="4" spans="1:13" s="1" customFormat="1">
      <c r="A4" s="110" t="s">
        <v>26</v>
      </c>
      <c r="B4" s="110" t="s">
        <v>25</v>
      </c>
      <c r="C4" s="103" t="s">
        <v>20</v>
      </c>
      <c r="D4" s="103" t="s">
        <v>24</v>
      </c>
      <c r="E4" s="103" t="s">
        <v>23</v>
      </c>
      <c r="F4" s="112">
        <v>1688</v>
      </c>
      <c r="G4" s="107">
        <v>44.15</v>
      </c>
      <c r="H4" s="106"/>
      <c r="I4" s="99">
        <f>G4*F4</f>
        <v>74525.2</v>
      </c>
      <c r="J4" s="10"/>
      <c r="L4" s="93"/>
      <c r="M4" s="92"/>
    </row>
    <row r="5" spans="1:13" s="1" customFormat="1">
      <c r="A5" s="110" t="s">
        <v>22</v>
      </c>
      <c r="B5" s="110" t="s">
        <v>21</v>
      </c>
      <c r="C5" s="103" t="s">
        <v>20</v>
      </c>
      <c r="D5" s="103" t="s">
        <v>19</v>
      </c>
      <c r="E5" s="103" t="s">
        <v>18</v>
      </c>
      <c r="F5" s="111">
        <v>9</v>
      </c>
      <c r="G5" s="107">
        <v>156.93</v>
      </c>
      <c r="H5" s="106"/>
      <c r="I5" s="99">
        <f>G5*F5</f>
        <v>1412.3700000000001</v>
      </c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1697</v>
      </c>
      <c r="G10" s="95">
        <f>I10/F10</f>
        <v>44.748126104890979</v>
      </c>
      <c r="H10" s="94">
        <v>0</v>
      </c>
      <c r="I10" s="94">
        <f>SUM(I4:I9)</f>
        <v>75937.569999999992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17</v>
      </c>
      <c r="B12" s="85"/>
      <c r="C12" s="85"/>
      <c r="D12" s="85"/>
      <c r="E12" s="84"/>
      <c r="F12" s="83" t="s">
        <v>16</v>
      </c>
      <c r="G12" s="82" t="s">
        <v>15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14</v>
      </c>
      <c r="F14" s="75"/>
      <c r="G14" s="74"/>
      <c r="H14" s="73"/>
      <c r="I14" s="72"/>
      <c r="J14" s="10"/>
    </row>
    <row r="15" spans="1:13" s="1" customFormat="1">
      <c r="A15" s="81"/>
      <c r="B15" s="80"/>
      <c r="C15" s="80"/>
      <c r="D15" s="80"/>
      <c r="E15" s="79" t="s">
        <v>13</v>
      </c>
      <c r="F15" s="75"/>
      <c r="G15" s="74"/>
      <c r="H15" s="73"/>
      <c r="I15" s="72"/>
      <c r="J15" s="10"/>
    </row>
    <row r="16" spans="1:13" s="1" customFormat="1">
      <c r="A16" s="78"/>
      <c r="B16" s="77"/>
      <c r="C16" s="77"/>
      <c r="D16" s="77"/>
      <c r="E16" s="76"/>
      <c r="F16" s="75"/>
      <c r="G16" s="74"/>
      <c r="H16" s="73"/>
      <c r="I16" s="72">
        <f>G16*F16</f>
        <v>0</v>
      </c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0</v>
      </c>
      <c r="G17" s="67"/>
      <c r="H17" s="66"/>
      <c r="I17" s="65">
        <f>SUM(I13:I16)</f>
        <v>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75937.569999999992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911250.83999999985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f>160893/12</f>
        <v>13407.75</v>
      </c>
      <c r="F21" s="44">
        <f>E21*12</f>
        <v>160893</v>
      </c>
      <c r="G21" s="43">
        <f>E21/F10</f>
        <v>7.9008544490276957</v>
      </c>
      <c r="H21" s="42">
        <f>F21/I19</f>
        <v>0.17656280020548462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>
        <v>0.01</v>
      </c>
      <c r="I22" s="34">
        <f>+I19*-H22</f>
        <v>-9112.5083999999988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61770.444299999981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741245.3315999998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0.12</v>
      </c>
      <c r="I25" s="23">
        <f>+I24/H25</f>
        <v>6177044.4299999988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6180000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2011-08-24T12:13:24Z</dcterms:created>
  <dcterms:modified xsi:type="dcterms:W3CDTF">2011-08-24T12:15:30Z</dcterms:modified>
</cp:coreProperties>
</file>