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5" i="1"/>
  <c r="I14" i="1" s="1"/>
  <c r="G14" i="1" s="1"/>
  <c r="F14" i="1"/>
  <c r="G25" i="1" s="1"/>
  <c r="I18" i="1"/>
  <c r="I21" i="1" s="1"/>
  <c r="I22" i="1" s="1"/>
  <c r="I23" i="1" s="1"/>
  <c r="F21" i="1"/>
  <c r="F25" i="1"/>
  <c r="E39" i="1"/>
  <c r="I26" i="1" l="1"/>
  <c r="I28" i="1" s="1"/>
  <c r="H25" i="1"/>
  <c r="I29" i="1" l="1"/>
  <c r="I27" i="1"/>
  <c r="E38" i="1" s="1"/>
  <c r="E42" i="1" s="1"/>
  <c r="I30" i="1" l="1"/>
  <c r="I31" i="1"/>
  <c r="B34" i="1" l="1"/>
  <c r="B36" i="1" s="1"/>
  <c r="E36" i="1"/>
  <c r="E35" i="1" s="1"/>
  <c r="B35" i="1" s="1"/>
</calcChain>
</file>

<file path=xl/sharedStrings.xml><?xml version="1.0" encoding="utf-8"?>
<sst xmlns="http://schemas.openxmlformats.org/spreadsheetml/2006/main" count="48" uniqueCount="42">
  <si>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</si>
  <si>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</si>
  <si>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</si>
  <si>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</si>
  <si>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</si>
  <si>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</si>
  <si>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</si>
  <si>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</si>
  <si>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</si>
  <si>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</si>
  <si>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</si>
  <si>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</si>
  <si>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</si>
  <si>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</si>
  <si>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</si>
  <si>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</si>
  <si>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</si>
  <si>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</si>
  <si>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</si>
  <si>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</si>
  <si>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</si>
  <si>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</si>
  <si>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</si>
  <si>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</si>
  <si>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</si>
  <si>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</si>
  <si>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</si>
  <si>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</si>
  <si>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</si>
  <si>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Mini Units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</si>
  <si>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</si>
  <si>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</si>
  <si>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</si>
  <si>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</si>
  <si>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</si>
  <si>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</si>
  <si>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</si>
  <si>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</si>
  <si>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</si>
  <si>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</si>
  <si>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Stand 146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</si>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</sst>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14" fontId="5" fillId="0" borderId="21" xfId="0" applyNumberFormat="1" applyFont="1" applyBorder="1"/>
    <xf numFmtId="14" fontId="5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58" t="s">
        <v>41</v>
      </c>
      <c r="B1" s="157" t="s">
        <v>40</v>
      </c>
      <c r="C1" s="157"/>
      <c r="D1" s="157"/>
      <c r="E1" s="156"/>
      <c r="F1" s="156"/>
      <c r="G1" s="156"/>
      <c r="H1" s="156"/>
      <c r="I1" s="155"/>
      <c r="J1" s="52"/>
    </row>
    <row r="2" spans="1:10" ht="20.25" customHeight="1" thickBot="1" x14ac:dyDescent="0.3">
      <c r="A2" s="154" t="s">
        <v>39</v>
      </c>
      <c r="B2" s="152"/>
      <c r="C2" s="152"/>
      <c r="D2" s="152"/>
      <c r="E2" s="153">
        <f ca="1">TODAY()</f>
        <v>40779</v>
      </c>
      <c r="F2" s="152"/>
      <c r="G2" s="152"/>
      <c r="H2" s="152"/>
      <c r="I2" s="151"/>
      <c r="J2" s="52"/>
    </row>
    <row r="3" spans="1:10" ht="63.75" customHeight="1" thickBot="1" x14ac:dyDescent="0.3">
      <c r="A3" s="150" t="s">
        <v>38</v>
      </c>
      <c r="B3" s="149" t="s">
        <v>37</v>
      </c>
      <c r="C3" s="149" t="s">
        <v>36</v>
      </c>
      <c r="D3" s="149" t="s">
        <v>35</v>
      </c>
      <c r="E3" s="149" t="s">
        <v>34</v>
      </c>
      <c r="F3" s="148" t="s">
        <v>33</v>
      </c>
      <c r="G3" s="147" t="s">
        <v>32</v>
      </c>
      <c r="H3" s="146" t="s">
        <v>31</v>
      </c>
      <c r="I3" s="145" t="s">
        <v>30</v>
      </c>
      <c r="J3" s="52"/>
    </row>
    <row r="4" spans="1:10" x14ac:dyDescent="0.25">
      <c r="A4" s="144" t="s">
        <v>29</v>
      </c>
      <c r="B4" s="120"/>
      <c r="C4" s="140"/>
      <c r="D4" s="140"/>
      <c r="E4" s="140"/>
      <c r="F4" s="143">
        <v>1802</v>
      </c>
      <c r="G4" s="133">
        <v>35</v>
      </c>
      <c r="H4" s="142"/>
      <c r="I4" s="113">
        <f>G4*F4</f>
        <v>63070</v>
      </c>
      <c r="J4" s="52"/>
    </row>
    <row r="5" spans="1:10" x14ac:dyDescent="0.25">
      <c r="A5" s="144"/>
      <c r="B5" s="120"/>
      <c r="C5" s="140"/>
      <c r="D5" s="140"/>
      <c r="E5" s="140"/>
      <c r="F5" s="143"/>
      <c r="G5" s="133"/>
      <c r="H5" s="142"/>
      <c r="I5" s="113">
        <f>G5*F5</f>
        <v>0</v>
      </c>
      <c r="J5" s="52"/>
    </row>
    <row r="6" spans="1:10" x14ac:dyDescent="0.25">
      <c r="A6" s="144"/>
      <c r="B6" s="120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28</v>
      </c>
      <c r="B13" s="117" t="s">
        <v>28</v>
      </c>
      <c r="C13" s="124" t="s">
        <v>28</v>
      </c>
      <c r="D13" s="140" t="s">
        <v>28</v>
      </c>
      <c r="E13" s="140" t="s">
        <v>28</v>
      </c>
      <c r="F13" s="139"/>
      <c r="G13" s="138"/>
      <c r="H13" s="137"/>
      <c r="I13" s="113"/>
      <c r="J13" s="52"/>
    </row>
    <row r="14" spans="1:10" x14ac:dyDescent="0.25">
      <c r="A14" s="136" t="s">
        <v>15</v>
      </c>
      <c r="B14" s="135"/>
      <c r="C14" s="135"/>
      <c r="D14" s="135"/>
      <c r="E14" s="135"/>
      <c r="F14" s="134">
        <f>SUM(F4:F13)</f>
        <v>1802</v>
      </c>
      <c r="G14" s="133">
        <f>I14/F14-H14</f>
        <v>35</v>
      </c>
      <c r="H14" s="132">
        <v>0</v>
      </c>
      <c r="I14" s="132">
        <f>SUM(I4:I13)</f>
        <v>63070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27</v>
      </c>
      <c r="B16" s="125"/>
      <c r="C16" s="125"/>
      <c r="D16" s="125"/>
      <c r="E16" s="124"/>
      <c r="F16" s="123" t="s">
        <v>26</v>
      </c>
      <c r="G16" s="122" t="s">
        <v>25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24</v>
      </c>
      <c r="F18" s="116"/>
      <c r="G18" s="115"/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23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22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15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21</v>
      </c>
      <c r="B22" s="104"/>
      <c r="C22" s="104"/>
      <c r="D22" s="104"/>
      <c r="E22" s="103"/>
      <c r="F22" s="102"/>
      <c r="G22" s="101"/>
      <c r="H22" s="96"/>
      <c r="I22" s="94">
        <f>+I21+I14</f>
        <v>63070</v>
      </c>
      <c r="J22" s="52"/>
    </row>
    <row r="23" spans="1:10" ht="18.75" customHeight="1" thickBot="1" x14ac:dyDescent="0.3">
      <c r="A23" s="100" t="s">
        <v>20</v>
      </c>
      <c r="B23" s="99"/>
      <c r="C23" s="99"/>
      <c r="D23" s="99"/>
      <c r="E23" s="98"/>
      <c r="F23" s="97"/>
      <c r="G23" s="96"/>
      <c r="H23" s="95"/>
      <c r="I23" s="94">
        <f>+I22*12</f>
        <v>756840</v>
      </c>
      <c r="J23" s="52"/>
    </row>
    <row r="24" spans="1:10" ht="18.75" customHeight="1" x14ac:dyDescent="0.25">
      <c r="A24" s="93" t="s">
        <v>19</v>
      </c>
      <c r="B24" s="92"/>
      <c r="C24" s="92"/>
      <c r="D24" s="92"/>
      <c r="E24" s="91" t="s">
        <v>18</v>
      </c>
      <c r="F24" s="91" t="s">
        <v>17</v>
      </c>
      <c r="G24" s="90" t="s">
        <v>16</v>
      </c>
      <c r="H24" s="89"/>
      <c r="I24" s="88"/>
      <c r="J24" s="52"/>
    </row>
    <row r="25" spans="1:10" ht="15.75" thickBot="1" x14ac:dyDescent="0.3">
      <c r="A25" s="87" t="s">
        <v>15</v>
      </c>
      <c r="B25" s="86"/>
      <c r="C25" s="86"/>
      <c r="D25" s="86"/>
      <c r="E25" s="85">
        <v>10000</v>
      </c>
      <c r="F25" s="85">
        <f>E25*12</f>
        <v>120000</v>
      </c>
      <c r="G25" s="84">
        <f>E25/F14</f>
        <v>5.5493895671476139</v>
      </c>
      <c r="H25" s="83">
        <f>F25/I23</f>
        <v>0.15855398763278897</v>
      </c>
      <c r="I25" s="82"/>
      <c r="J25" s="52"/>
    </row>
    <row r="26" spans="1:10" ht="18.75" customHeight="1" x14ac:dyDescent="0.25">
      <c r="A26" s="81" t="s">
        <v>14</v>
      </c>
      <c r="B26" s="80"/>
      <c r="C26" s="80"/>
      <c r="D26" s="80"/>
      <c r="E26" s="79"/>
      <c r="F26" s="78"/>
      <c r="G26" s="77"/>
      <c r="H26" s="76">
        <v>1.4999999999999999E-2</v>
      </c>
      <c r="I26" s="75">
        <f>+I23*-H26</f>
        <v>-11352.6</v>
      </c>
      <c r="J26" s="52"/>
    </row>
    <row r="27" spans="1:10" ht="18.75" customHeight="1" x14ac:dyDescent="0.25">
      <c r="A27" s="74" t="s">
        <v>13</v>
      </c>
      <c r="B27" s="73"/>
      <c r="C27" s="73"/>
      <c r="D27" s="73"/>
      <c r="E27" s="72"/>
      <c r="F27" s="71"/>
      <c r="G27" s="70"/>
      <c r="H27" s="69"/>
      <c r="I27" s="68">
        <f>+I28/12</f>
        <v>52123.950000000004</v>
      </c>
      <c r="J27" s="52"/>
    </row>
    <row r="28" spans="1:10" ht="18.75" customHeight="1" x14ac:dyDescent="0.25">
      <c r="A28" s="64" t="s">
        <v>12</v>
      </c>
      <c r="B28" s="62"/>
      <c r="C28" s="62"/>
      <c r="D28" s="62"/>
      <c r="E28" s="63"/>
      <c r="F28" s="63"/>
      <c r="G28" s="67"/>
      <c r="H28" s="60"/>
      <c r="I28" s="65">
        <f>+I23-F25+I26</f>
        <v>625487.4</v>
      </c>
      <c r="J28" s="52"/>
    </row>
    <row r="29" spans="1:10" ht="18.75" customHeight="1" x14ac:dyDescent="0.25">
      <c r="A29" s="64" t="s">
        <v>11</v>
      </c>
      <c r="B29" s="62"/>
      <c r="C29" s="62"/>
      <c r="D29" s="62"/>
      <c r="E29" s="63"/>
      <c r="F29" s="63"/>
      <c r="G29" s="66"/>
      <c r="H29" s="60">
        <v>0.11</v>
      </c>
      <c r="I29" s="65">
        <f>+I28/H29</f>
        <v>5686249.0909090908</v>
      </c>
      <c r="J29" s="52"/>
    </row>
    <row r="30" spans="1:10" ht="18.75" customHeight="1" x14ac:dyDescent="0.25">
      <c r="A30" s="64" t="s">
        <v>10</v>
      </c>
      <c r="B30" s="62"/>
      <c r="C30" s="62"/>
      <c r="D30" s="62"/>
      <c r="E30" s="63"/>
      <c r="F30" s="62"/>
      <c r="G30" s="61"/>
      <c r="H30" s="60"/>
      <c r="I30" s="59">
        <f>ROUND(I29,-4)</f>
        <v>5690000</v>
      </c>
      <c r="J30" s="52"/>
    </row>
    <row r="31" spans="1:10" ht="18.75" customHeight="1" thickBot="1" x14ac:dyDescent="0.3">
      <c r="A31" s="58"/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3980000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0.24604569420035149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0.75395430579964851</v>
      </c>
      <c r="C35" s="44"/>
      <c r="D35" s="43"/>
      <c r="E35" s="42">
        <f>E36 - E34</f>
        <v>4290000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5690000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52123.950000000004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32440.587842942758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2011-08-24T12:00:28Z</dcterms:created>
  <dcterms:modified xsi:type="dcterms:W3CDTF">2011-08-24T12:00:46Z</dcterms:modified>
</cp:coreProperties>
</file>