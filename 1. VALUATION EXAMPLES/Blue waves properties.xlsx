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F8"/>
  <c r="I8"/>
  <c r="G8" s="1"/>
  <c r="I12"/>
  <c r="I13"/>
  <c r="I14"/>
  <c r="F15"/>
  <c r="I15"/>
  <c r="I16" s="1"/>
  <c r="I17" s="1"/>
  <c r="E19"/>
  <c r="G19" s="1"/>
  <c r="H19" l="1"/>
  <c r="I20"/>
  <c r="I22" s="1"/>
  <c r="I21" l="1"/>
  <c r="I23"/>
  <c r="I24" s="1"/>
</calcChain>
</file>

<file path=xl/comments1.xml><?xml version="1.0" encoding="utf-8"?>
<comments xmlns="http://schemas.openxmlformats.org/spreadsheetml/2006/main">
  <authors>
    <author>Katlego Manamela</author>
  </authors>
  <commentList>
    <comment ref="G19" authorId="0">
      <text>
        <r>
          <rPr>
            <b/>
            <sz val="8"/>
            <color indexed="81"/>
            <rFont val="Tahoma"/>
            <family val="2"/>
          </rPr>
          <t>Katlego Manamela:</t>
        </r>
        <r>
          <rPr>
            <sz val="8"/>
            <color indexed="81"/>
            <rFont val="Tahoma"/>
            <family val="2"/>
          </rPr>
          <t xml:space="preserve">
8.08</t>
        </r>
      </text>
    </comment>
  </commentList>
</comments>
</file>

<file path=xl/sharedStrings.xml><?xml version="1.0" encoding="utf-8"?>
<sst xmlns="http://schemas.openxmlformats.org/spreadsheetml/2006/main" count="47" uniqueCount="37">
  <si>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</si>
  <si>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</si>
  <si>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</si>
  <si>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</si>
  <si>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</si>
  <si>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</si>
  <si>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</si>
  <si>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</si>
  <si>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</si>
  <si>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</si>
  <si>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</si>
  <si>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</si>
  <si>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</si>
  <si>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</si>
  <si>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</si>
  <si>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</si>
  <si>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</si>
  <si>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 xml:space="preserve"> </t>
  </si>
  <si>
    <t>n/a</t>
  </si>
  <si>
    <t>Warehouse &amp; offices</t>
  </si>
  <si>
    <t>Topaz</t>
  </si>
  <si>
    <t>Warehouse</t>
  </si>
  <si>
    <t>Select bakery</t>
  </si>
  <si>
    <t>Workshop</t>
  </si>
  <si>
    <t>Linden industries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</si>
  <si>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</si>
  <si>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</si>
  <si>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</si>
  <si>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</si>
  <si>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</si>
  <si>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</si>
  <si>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</si>
  <si>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</si>
  <si>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</si>
  <si>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</si>
  <si>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Blue Waves Properties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</si>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</sst>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>
      <selection activeCell="G1" sqref="G1"/>
    </sheetView>
  </sheetViews>
  <sheetFormatPr defaultRowHeight="15"/>
  <cols>
    <col min="1" max="1" width="28" style="2" customWidth="1"/>
    <col min="2" max="2" width="12.710937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2" t="s">
        <v>36</v>
      </c>
      <c r="B1" s="131" t="s">
        <v>35</v>
      </c>
      <c r="C1" s="131"/>
      <c r="D1" s="131"/>
      <c r="E1" s="129"/>
      <c r="F1" s="129"/>
      <c r="G1" s="130">
        <v>70025012</v>
      </c>
      <c r="H1" s="129"/>
      <c r="I1" s="128"/>
      <c r="J1" s="16"/>
    </row>
    <row r="2" spans="1:13" s="1" customFormat="1" ht="20.25" customHeight="1" thickBot="1">
      <c r="A2" s="127" t="s">
        <v>34</v>
      </c>
      <c r="B2" s="125"/>
      <c r="C2" s="125"/>
      <c r="D2" s="125"/>
      <c r="E2" s="126">
        <v>40730</v>
      </c>
      <c r="F2" s="125"/>
      <c r="G2" s="125"/>
      <c r="H2" s="125"/>
      <c r="I2" s="124"/>
      <c r="J2" s="16"/>
    </row>
    <row r="3" spans="1:13" s="1" customFormat="1" ht="63.75" customHeight="1" thickBot="1">
      <c r="A3" s="123" t="s">
        <v>33</v>
      </c>
      <c r="B3" s="122" t="s">
        <v>32</v>
      </c>
      <c r="C3" s="122" t="s">
        <v>31</v>
      </c>
      <c r="D3" s="122" t="s">
        <v>30</v>
      </c>
      <c r="E3" s="122" t="s">
        <v>29</v>
      </c>
      <c r="F3" s="121" t="s">
        <v>28</v>
      </c>
      <c r="G3" s="120" t="s">
        <v>27</v>
      </c>
      <c r="H3" s="119" t="s">
        <v>26</v>
      </c>
      <c r="I3" s="118" t="s">
        <v>25</v>
      </c>
      <c r="J3" s="16"/>
    </row>
    <row r="4" spans="1:13" s="1" customFormat="1">
      <c r="A4" s="116" t="s">
        <v>24</v>
      </c>
      <c r="B4" s="115" t="s">
        <v>23</v>
      </c>
      <c r="C4" s="114"/>
      <c r="D4" s="114" t="s">
        <v>18</v>
      </c>
      <c r="E4" s="114" t="s">
        <v>18</v>
      </c>
      <c r="F4" s="117">
        <v>797</v>
      </c>
      <c r="G4" s="112">
        <v>22</v>
      </c>
      <c r="H4" s="111"/>
      <c r="I4" s="110">
        <f>G4*F4</f>
        <v>17534</v>
      </c>
      <c r="J4" s="16"/>
      <c r="L4" s="99"/>
      <c r="M4" s="98"/>
    </row>
    <row r="5" spans="1:13" s="1" customFormat="1">
      <c r="A5" s="116" t="s">
        <v>22</v>
      </c>
      <c r="B5" s="115" t="s">
        <v>21</v>
      </c>
      <c r="C5" s="114"/>
      <c r="D5" s="114" t="s">
        <v>18</v>
      </c>
      <c r="E5" s="114" t="s">
        <v>18</v>
      </c>
      <c r="F5" s="113">
        <v>334</v>
      </c>
      <c r="G5" s="112">
        <v>23</v>
      </c>
      <c r="H5" s="111"/>
      <c r="I5" s="110">
        <f>G5*F5</f>
        <v>7682</v>
      </c>
      <c r="J5" s="16"/>
      <c r="K5" s="2"/>
      <c r="L5" s="99"/>
      <c r="M5" s="98"/>
    </row>
    <row r="6" spans="1:13" s="1" customFormat="1" ht="26.25">
      <c r="A6" s="116" t="s">
        <v>20</v>
      </c>
      <c r="B6" s="115" t="s">
        <v>19</v>
      </c>
      <c r="C6" s="114"/>
      <c r="D6" s="114" t="s">
        <v>18</v>
      </c>
      <c r="E6" s="114" t="s">
        <v>18</v>
      </c>
      <c r="F6" s="113">
        <v>175</v>
      </c>
      <c r="G6" s="112">
        <v>25</v>
      </c>
      <c r="H6" s="111"/>
      <c r="I6" s="110">
        <f>G6*F6</f>
        <v>4375</v>
      </c>
      <c r="J6" s="16"/>
      <c r="K6" s="2"/>
      <c r="L6" s="99"/>
      <c r="M6" s="98"/>
    </row>
    <row r="7" spans="1:13" s="1" customFormat="1">
      <c r="A7" s="109"/>
      <c r="B7" s="82" t="s">
        <v>17</v>
      </c>
      <c r="C7" s="90" t="s">
        <v>17</v>
      </c>
      <c r="D7" s="108" t="s">
        <v>17</v>
      </c>
      <c r="E7" s="108" t="s">
        <v>17</v>
      </c>
      <c r="F7" s="107"/>
      <c r="G7" s="106"/>
      <c r="H7" s="105"/>
      <c r="I7" s="78"/>
      <c r="J7" s="16"/>
      <c r="L7" s="99"/>
      <c r="M7" s="98"/>
    </row>
    <row r="8" spans="1:13" s="1" customFormat="1">
      <c r="A8" s="104" t="s">
        <v>5</v>
      </c>
      <c r="B8" s="103"/>
      <c r="C8" s="103"/>
      <c r="D8" s="103"/>
      <c r="E8" s="103"/>
      <c r="F8" s="102">
        <f>F4+F5+F6</f>
        <v>1306</v>
      </c>
      <c r="G8" s="101">
        <f>I8/F8</f>
        <v>22.657733537519142</v>
      </c>
      <c r="H8" s="100">
        <v>0</v>
      </c>
      <c r="I8" s="100">
        <f>SUM(I4:I7)</f>
        <v>29591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>
      <c r="A10" s="92" t="s">
        <v>16</v>
      </c>
      <c r="B10" s="91"/>
      <c r="C10" s="91"/>
      <c r="D10" s="91"/>
      <c r="E10" s="90"/>
      <c r="F10" s="89" t="s">
        <v>15</v>
      </c>
      <c r="G10" s="88" t="s">
        <v>14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13</v>
      </c>
      <c r="F12" s="81"/>
      <c r="G12" s="80"/>
      <c r="H12" s="79"/>
      <c r="I12" s="78">
        <f>G12*F12</f>
        <v>0</v>
      </c>
      <c r="J12" s="16"/>
    </row>
    <row r="13" spans="1:13" s="1" customFormat="1">
      <c r="A13" s="87"/>
      <c r="B13" s="86"/>
      <c r="C13" s="86"/>
      <c r="D13" s="86"/>
      <c r="E13" s="85" t="s">
        <v>12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4"/>
      <c r="B14" s="83"/>
      <c r="C14" s="83"/>
      <c r="D14" s="83"/>
      <c r="E14" s="82"/>
      <c r="F14" s="81"/>
      <c r="G14" s="80"/>
      <c r="H14" s="79"/>
      <c r="I14" s="78">
        <f>G14*F14</f>
        <v>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0</v>
      </c>
      <c r="G15" s="73"/>
      <c r="H15" s="72"/>
      <c r="I15" s="71">
        <f>SUM(I11:I14)</f>
        <v>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29591</v>
      </c>
      <c r="J16" s="16"/>
      <c r="L16" s="32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355092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f>F19/12</f>
        <v>9137.6541666666672</v>
      </c>
      <c r="F19" s="50">
        <v>109651.85</v>
      </c>
      <c r="G19" s="49">
        <f>E19/F8</f>
        <v>6.9966724093925476</v>
      </c>
      <c r="H19" s="48">
        <f>F19/I17</f>
        <v>0.30879842407038177</v>
      </c>
      <c r="I19" s="47"/>
      <c r="J19" s="16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</v>
      </c>
      <c r="I20" s="40">
        <f>+I17*-H20</f>
        <v>0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20453.345833333333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245440.15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0.125</v>
      </c>
      <c r="I23" s="29">
        <f>+I22/H23</f>
        <v>1963521.2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1960000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2011-08-24T11:53:31Z</dcterms:created>
  <dcterms:modified xsi:type="dcterms:W3CDTF">2011-08-24T11:53:43Z</dcterms:modified>
</cp:coreProperties>
</file>