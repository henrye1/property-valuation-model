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80" yWindow="870" windowWidth="17355" windowHeight="768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F8"/>
  <c r="I8"/>
  <c r="G8" s="1"/>
  <c r="I12"/>
  <c r="I13"/>
  <c r="I14"/>
  <c r="F15"/>
  <c r="I15"/>
  <c r="I16" s="1"/>
  <c r="I17" s="1"/>
  <c r="E19"/>
  <c r="G19" s="1"/>
  <c r="I20" l="1"/>
  <c r="F19"/>
  <c r="H19" s="1"/>
  <c r="I22" l="1"/>
  <c r="I21" l="1"/>
  <c r="I23"/>
  <c r="I24" s="1"/>
</calcChain>
</file>

<file path=xl/sharedStrings.xml><?xml version="1.0" encoding="utf-8"?>
<sst xmlns="http://schemas.openxmlformats.org/spreadsheetml/2006/main" count="47" uniqueCount="35">
  <si>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</si>
  <si>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</si>
  <si>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</si>
  <si>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</si>
  <si>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</si>
  <si>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</si>
  <si>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</si>
  <si>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</si>
  <si>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</si>
  <si>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</si>
  <si>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</si>
  <si>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</si>
  <si>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shadenet</t>
  </si>
  <si>
    <t>Covered</t>
  </si>
  <si>
    <t>Open</t>
  </si>
  <si>
    <t>R/bay</t>
  </si>
  <si>
    <t>No. bays</t>
  </si>
  <si>
    <t>Parking</t>
  </si>
  <si>
    <t>N/A</t>
  </si>
  <si>
    <t>Unit 8</t>
  </si>
  <si>
    <t>Mini Units</t>
  </si>
  <si>
    <t>Unit 7</t>
  </si>
  <si>
    <t>Unit 5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</si>
  <si>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</si>
  <si>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</si>
  <si>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</si>
  <si>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</si>
  <si>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</si>
  <si>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</si>
  <si>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</si>
  <si>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</si>
  <si>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</si>
  <si>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</si>
  <si>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Dawlar Investments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</si>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</sst>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0" fontId="2" fillId="0" borderId="0" xfId="0" applyNumberFormat="1" applyFont="1" applyBorder="1" applyAlignment="1">
      <alignment horizontal="center" wrapText="1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35" xfId="0" applyNumberFormat="1" applyFont="1" applyBorder="1" applyAlignment="1">
      <alignment horizontal="center" wrapText="1"/>
    </xf>
    <xf numFmtId="49" fontId="2" fillId="0" borderId="44" xfId="0" applyNumberFormat="1" applyFont="1" applyBorder="1" applyAlignment="1">
      <alignment horizontal="left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5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5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6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7" xfId="0" applyNumberFormat="1" applyFont="1" applyBorder="1"/>
    <xf numFmtId="14" fontId="3" fillId="0" borderId="48" xfId="0" applyNumberFormat="1" applyFont="1" applyBorder="1"/>
    <xf numFmtId="14" fontId="8" fillId="0" borderId="48" xfId="0" applyNumberFormat="1" applyFont="1" applyBorder="1"/>
    <xf numFmtId="14" fontId="9" fillId="0" borderId="4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9"/>
  <sheetViews>
    <sheetView tabSelected="1" workbookViewId="0">
      <selection activeCell="C4" sqref="C4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thickTop="1">
      <c r="A1" s="132" t="s">
        <v>34</v>
      </c>
      <c r="B1" s="131" t="s">
        <v>33</v>
      </c>
      <c r="C1" s="131"/>
      <c r="D1" s="131"/>
      <c r="E1" s="130"/>
      <c r="F1" s="130"/>
      <c r="G1" s="130"/>
      <c r="H1" s="130"/>
      <c r="I1" s="129"/>
      <c r="J1" s="16"/>
    </row>
    <row r="2" spans="1:15" s="1" customFormat="1" ht="20.25" customHeight="1" thickBot="1">
      <c r="A2" s="128" t="s">
        <v>32</v>
      </c>
      <c r="B2" s="126"/>
      <c r="C2" s="126"/>
      <c r="D2" s="126"/>
      <c r="E2" s="127">
        <v>40743</v>
      </c>
      <c r="F2" s="126"/>
      <c r="G2" s="126"/>
      <c r="H2" s="126"/>
      <c r="I2" s="125"/>
      <c r="J2" s="16"/>
    </row>
    <row r="3" spans="1:15" s="1" customFormat="1" ht="63.75" customHeight="1" thickBot="1">
      <c r="A3" s="124" t="s">
        <v>31</v>
      </c>
      <c r="B3" s="123" t="s">
        <v>30</v>
      </c>
      <c r="C3" s="123" t="s">
        <v>29</v>
      </c>
      <c r="D3" s="123" t="s">
        <v>28</v>
      </c>
      <c r="E3" s="123" t="s">
        <v>27</v>
      </c>
      <c r="F3" s="122" t="s">
        <v>26</v>
      </c>
      <c r="G3" s="121" t="s">
        <v>25</v>
      </c>
      <c r="H3" s="120" t="s">
        <v>24</v>
      </c>
      <c r="I3" s="119" t="s">
        <v>23</v>
      </c>
      <c r="J3" s="16"/>
    </row>
    <row r="4" spans="1:15" s="1" customFormat="1">
      <c r="A4" s="116" t="s">
        <v>20</v>
      </c>
      <c r="B4" s="118" t="s">
        <v>22</v>
      </c>
      <c r="C4" s="109" t="s">
        <v>18</v>
      </c>
      <c r="D4" s="109" t="s">
        <v>18</v>
      </c>
      <c r="E4" s="109" t="s">
        <v>18</v>
      </c>
      <c r="F4" s="117">
        <v>166</v>
      </c>
      <c r="G4" s="113">
        <v>95</v>
      </c>
      <c r="H4" s="112"/>
      <c r="I4" s="105">
        <f>G4*F4</f>
        <v>15770</v>
      </c>
      <c r="J4" s="16"/>
      <c r="L4" s="99"/>
      <c r="M4" s="98"/>
    </row>
    <row r="5" spans="1:15" s="1" customFormat="1">
      <c r="A5" s="116" t="s">
        <v>20</v>
      </c>
      <c r="B5" s="115" t="s">
        <v>21</v>
      </c>
      <c r="C5" s="109" t="s">
        <v>18</v>
      </c>
      <c r="D5" s="109" t="s">
        <v>18</v>
      </c>
      <c r="E5" s="109" t="s">
        <v>18</v>
      </c>
      <c r="F5" s="114">
        <v>176</v>
      </c>
      <c r="G5" s="113">
        <v>95</v>
      </c>
      <c r="H5" s="112"/>
      <c r="I5" s="105">
        <f>G5*F5</f>
        <v>16720</v>
      </c>
      <c r="J5" s="16"/>
      <c r="L5" s="99"/>
      <c r="M5" s="98"/>
    </row>
    <row r="6" spans="1:15" s="1" customFormat="1">
      <c r="A6" s="116" t="s">
        <v>20</v>
      </c>
      <c r="B6" s="115" t="s">
        <v>19</v>
      </c>
      <c r="C6" s="109" t="s">
        <v>18</v>
      </c>
      <c r="D6" s="109" t="s">
        <v>18</v>
      </c>
      <c r="E6" s="109" t="s">
        <v>18</v>
      </c>
      <c r="F6" s="114">
        <v>140</v>
      </c>
      <c r="G6" s="113">
        <v>95</v>
      </c>
      <c r="H6" s="112"/>
      <c r="I6" s="105">
        <f>G6*F6</f>
        <v>13300</v>
      </c>
      <c r="J6" s="16"/>
      <c r="L6" s="99"/>
      <c r="M6" s="98"/>
    </row>
    <row r="7" spans="1:15" s="1" customFormat="1" ht="15.75" thickBot="1">
      <c r="A7" s="111"/>
      <c r="B7" s="110"/>
      <c r="C7" s="90"/>
      <c r="D7" s="109"/>
      <c r="E7" s="109"/>
      <c r="F7" s="108"/>
      <c r="G7" s="107"/>
      <c r="H7" s="106"/>
      <c r="I7" s="105"/>
      <c r="J7" s="16"/>
      <c r="L7" s="99"/>
      <c r="M7" s="98"/>
    </row>
    <row r="8" spans="1:15" customFormat="1">
      <c r="A8" s="104" t="s">
        <v>5</v>
      </c>
      <c r="B8" s="82"/>
      <c r="C8" s="103"/>
      <c r="D8" s="103"/>
      <c r="E8" s="103"/>
      <c r="F8" s="102">
        <f>SUM(F4:F7)</f>
        <v>482</v>
      </c>
      <c r="G8" s="101">
        <f>I8/F8</f>
        <v>95</v>
      </c>
      <c r="H8" s="100">
        <v>0</v>
      </c>
      <c r="I8" s="100">
        <f>SUM(I4:I7)</f>
        <v>45790</v>
      </c>
      <c r="J8" s="16"/>
      <c r="K8" s="1"/>
      <c r="L8" s="99"/>
      <c r="M8" s="98"/>
      <c r="N8" s="1"/>
      <c r="O8" s="1"/>
    </row>
    <row r="9" spans="1:15" customFormat="1">
      <c r="A9" s="97"/>
      <c r="B9" s="96"/>
      <c r="C9" s="96"/>
      <c r="D9" s="96"/>
      <c r="E9" s="95"/>
      <c r="F9" s="94"/>
      <c r="G9" s="93"/>
      <c r="H9" s="79"/>
      <c r="I9" s="78"/>
      <c r="J9" s="16"/>
      <c r="K9" s="1"/>
      <c r="L9" s="1"/>
      <c r="M9" s="1"/>
      <c r="N9" s="1"/>
      <c r="O9" s="1"/>
    </row>
    <row r="10" spans="1:15" customFormat="1">
      <c r="A10" s="92" t="s">
        <v>17</v>
      </c>
      <c r="B10" s="91"/>
      <c r="C10" s="91"/>
      <c r="D10" s="91"/>
      <c r="E10" s="90"/>
      <c r="F10" s="89" t="s">
        <v>16</v>
      </c>
      <c r="G10" s="88" t="s">
        <v>15</v>
      </c>
      <c r="H10" s="79"/>
      <c r="I10" s="78"/>
      <c r="J10" s="16"/>
      <c r="K10" s="1"/>
      <c r="L10" s="1"/>
      <c r="M10" s="1"/>
      <c r="N10" s="1"/>
      <c r="O10" s="1"/>
    </row>
    <row r="11" spans="1:15" customFormat="1">
      <c r="A11" s="87"/>
      <c r="B11" s="86"/>
      <c r="C11" s="86"/>
      <c r="D11" s="86"/>
      <c r="E11" s="85"/>
      <c r="F11" s="81"/>
      <c r="G11" s="80"/>
      <c r="H11" s="79"/>
      <c r="I11" s="78"/>
      <c r="J11" s="16"/>
      <c r="K11" s="1"/>
      <c r="L11" s="1"/>
      <c r="M11" s="1"/>
      <c r="N11" s="1"/>
      <c r="O11" s="1"/>
    </row>
    <row r="12" spans="1:15" customFormat="1">
      <c r="A12" s="87"/>
      <c r="B12" s="86"/>
      <c r="C12" s="86"/>
      <c r="D12" s="86"/>
      <c r="E12" s="85" t="s">
        <v>14</v>
      </c>
      <c r="F12" s="81">
        <v>12</v>
      </c>
      <c r="G12" s="80">
        <v>0</v>
      </c>
      <c r="H12" s="79"/>
      <c r="I12" s="78">
        <f>G12*F12</f>
        <v>0</v>
      </c>
      <c r="J12" s="16"/>
      <c r="K12" s="1"/>
      <c r="L12" s="1"/>
      <c r="M12" s="1"/>
      <c r="N12" s="1"/>
      <c r="O12" s="1"/>
    </row>
    <row r="13" spans="1:15" customFormat="1">
      <c r="A13" s="87"/>
      <c r="B13" s="86"/>
      <c r="C13" s="86"/>
      <c r="D13" s="86"/>
      <c r="E13" s="85" t="s">
        <v>13</v>
      </c>
      <c r="F13" s="81">
        <v>4</v>
      </c>
      <c r="G13" s="80">
        <v>250</v>
      </c>
      <c r="H13" s="79"/>
      <c r="I13" s="78">
        <f>G13*F13</f>
        <v>1000</v>
      </c>
      <c r="J13" s="16"/>
      <c r="K13" s="1"/>
      <c r="L13" s="1"/>
      <c r="M13" s="1"/>
      <c r="N13" s="1"/>
      <c r="O13" s="1"/>
    </row>
    <row r="14" spans="1:15" customFormat="1">
      <c r="A14" s="84"/>
      <c r="B14" s="83"/>
      <c r="C14" s="83"/>
      <c r="D14" s="83"/>
      <c r="E14" s="82" t="s">
        <v>12</v>
      </c>
      <c r="F14" s="81">
        <v>17</v>
      </c>
      <c r="G14" s="80">
        <v>250</v>
      </c>
      <c r="H14" s="79"/>
      <c r="I14" s="78">
        <f>G14*F14</f>
        <v>4250</v>
      </c>
      <c r="J14" s="16"/>
      <c r="K14" s="1"/>
      <c r="L14" s="1"/>
      <c r="M14" s="1"/>
      <c r="N14" s="1"/>
      <c r="O14" s="1"/>
    </row>
    <row r="15" spans="1:15" customFormat="1" ht="15.75" thickBot="1">
      <c r="A15" s="77" t="s">
        <v>5</v>
      </c>
      <c r="B15" s="76"/>
      <c r="C15" s="76"/>
      <c r="D15" s="76"/>
      <c r="E15" s="75"/>
      <c r="F15" s="74">
        <f>SUM(F11:F14)</f>
        <v>33</v>
      </c>
      <c r="G15" s="73"/>
      <c r="H15" s="72"/>
      <c r="I15" s="71">
        <f>SUM(I11:I14)</f>
        <v>5250</v>
      </c>
      <c r="J15" s="16"/>
      <c r="K15" s="1"/>
      <c r="L15" s="1"/>
      <c r="M15" s="1"/>
      <c r="N15" s="1"/>
      <c r="O15" s="1"/>
    </row>
    <row r="16" spans="1:15" customFormat="1" ht="18.75" customHeight="1" thickBot="1">
      <c r="A16" s="70" t="s">
        <v>11</v>
      </c>
      <c r="B16" s="69"/>
      <c r="C16" s="69"/>
      <c r="D16" s="69"/>
      <c r="E16" s="68"/>
      <c r="F16" s="67"/>
      <c r="G16" s="66"/>
      <c r="H16" s="61"/>
      <c r="I16" s="59">
        <f>+I15+I8</f>
        <v>51040</v>
      </c>
      <c r="J16" s="16"/>
      <c r="K16" s="1"/>
      <c r="L16" s="32"/>
      <c r="M16" s="1"/>
      <c r="N16" s="1"/>
      <c r="O16" s="1"/>
    </row>
    <row r="17" spans="1:15" customFormat="1" ht="18.75" customHeight="1" thickBot="1">
      <c r="A17" s="65" t="s">
        <v>10</v>
      </c>
      <c r="B17" s="64"/>
      <c r="C17" s="64"/>
      <c r="D17" s="64"/>
      <c r="E17" s="63"/>
      <c r="F17" s="62"/>
      <c r="G17" s="61"/>
      <c r="H17" s="60"/>
      <c r="I17" s="59">
        <f>+I16*12</f>
        <v>612480</v>
      </c>
      <c r="J17" s="16"/>
      <c r="K17" s="1"/>
      <c r="L17" s="1"/>
      <c r="M17" s="1"/>
      <c r="N17" s="1"/>
      <c r="O17" s="1"/>
    </row>
    <row r="18" spans="1:15" customFormat="1" ht="18.75" customHeight="1">
      <c r="A18" s="58" t="s">
        <v>9</v>
      </c>
      <c r="B18" s="57"/>
      <c r="C18" s="57"/>
      <c r="D18" s="57"/>
      <c r="E18" s="56" t="s">
        <v>8</v>
      </c>
      <c r="F18" s="56" t="s">
        <v>7</v>
      </c>
      <c r="G18" s="55" t="s">
        <v>6</v>
      </c>
      <c r="H18" s="54"/>
      <c r="I18" s="53"/>
      <c r="J18" s="16"/>
      <c r="K18" s="1"/>
      <c r="L18" s="1"/>
      <c r="M18" s="1"/>
      <c r="N18" s="1"/>
      <c r="O18" s="1"/>
    </row>
    <row r="19" spans="1:15" customFormat="1" ht="15.75" thickBot="1">
      <c r="A19" s="52" t="s">
        <v>5</v>
      </c>
      <c r="B19" s="51"/>
      <c r="C19" s="51"/>
      <c r="D19" s="51"/>
      <c r="E19" s="50">
        <f>109911/12</f>
        <v>9159.25</v>
      </c>
      <c r="F19" s="50">
        <f>E19*12</f>
        <v>109911</v>
      </c>
      <c r="G19" s="49">
        <f>E19/F8</f>
        <v>19.002593360995849</v>
      </c>
      <c r="H19" s="48">
        <f>F19/I17</f>
        <v>0.17945239028213167</v>
      </c>
      <c r="I19" s="47"/>
      <c r="J19" s="16"/>
      <c r="K19" s="1"/>
      <c r="L19" s="32"/>
      <c r="M19" s="1"/>
      <c r="N19" s="1"/>
      <c r="O19" s="32"/>
    </row>
    <row r="20" spans="1:15" customFormat="1" ht="18.75" customHeight="1">
      <c r="A20" s="46" t="s">
        <v>4</v>
      </c>
      <c r="B20" s="45"/>
      <c r="C20" s="45"/>
      <c r="D20" s="45"/>
      <c r="E20" s="44"/>
      <c r="F20" s="43"/>
      <c r="G20" s="42"/>
      <c r="H20" s="41">
        <v>0.03</v>
      </c>
      <c r="I20" s="40">
        <f>+I17*-H20</f>
        <v>-18374.399999999998</v>
      </c>
      <c r="J20" s="16"/>
      <c r="K20" s="1"/>
      <c r="L20" s="1"/>
      <c r="M20" s="1"/>
      <c r="N20" s="1"/>
      <c r="O20" s="32"/>
    </row>
    <row r="21" spans="1:15" customFormat="1" ht="18.75" customHeight="1">
      <c r="A21" s="39" t="s">
        <v>3</v>
      </c>
      <c r="B21" s="38"/>
      <c r="C21" s="38"/>
      <c r="D21" s="38"/>
      <c r="E21" s="37"/>
      <c r="F21" s="36"/>
      <c r="G21" s="35"/>
      <c r="H21" s="34"/>
      <c r="I21" s="33">
        <f>+I22/12</f>
        <v>40349.549999999996</v>
      </c>
      <c r="J21" s="16"/>
      <c r="K21" s="1"/>
      <c r="L21" s="1"/>
      <c r="M21" s="1"/>
      <c r="N21" s="1"/>
      <c r="O21" s="32"/>
    </row>
    <row r="22" spans="1:15" customFormat="1" ht="18.75" customHeight="1">
      <c r="A22" s="28" t="s">
        <v>2</v>
      </c>
      <c r="B22" s="26"/>
      <c r="C22" s="26"/>
      <c r="D22" s="26"/>
      <c r="E22" s="27"/>
      <c r="F22" s="27"/>
      <c r="G22" s="31"/>
      <c r="H22" s="24"/>
      <c r="I22" s="29">
        <f>+I17-F19+I20</f>
        <v>484194.6</v>
      </c>
      <c r="J22" s="16"/>
      <c r="K22" s="1"/>
      <c r="L22" s="1"/>
      <c r="M22" s="1"/>
      <c r="N22" s="1"/>
      <c r="O22" s="1"/>
    </row>
    <row r="23" spans="1:15" customFormat="1" ht="18.75" customHeight="1">
      <c r="A23" s="28" t="s">
        <v>1</v>
      </c>
      <c r="B23" s="26"/>
      <c r="C23" s="26"/>
      <c r="D23" s="26"/>
      <c r="E23" s="27"/>
      <c r="F23" s="27"/>
      <c r="G23" s="30"/>
      <c r="H23" s="24">
        <v>0.11</v>
      </c>
      <c r="I23" s="29">
        <f>+I22/H23</f>
        <v>4401769.0909090908</v>
      </c>
      <c r="J23" s="16"/>
      <c r="K23" s="1"/>
      <c r="L23" s="1"/>
      <c r="M23" s="1"/>
      <c r="N23" s="1"/>
      <c r="O23" s="1"/>
    </row>
    <row r="24" spans="1:15" customFormat="1" ht="18.75" customHeight="1">
      <c r="A24" s="28" t="s">
        <v>0</v>
      </c>
      <c r="B24" s="26"/>
      <c r="C24" s="26"/>
      <c r="D24" s="26"/>
      <c r="E24" s="27"/>
      <c r="F24" s="26"/>
      <c r="G24" s="25"/>
      <c r="H24" s="24"/>
      <c r="I24" s="23">
        <f>ROUND(I23,-4)</f>
        <v>4400000</v>
      </c>
      <c r="J24" s="16"/>
      <c r="K24" s="1"/>
      <c r="L24" s="1"/>
      <c r="M24" s="1"/>
      <c r="N24" s="1"/>
      <c r="O24" s="1"/>
    </row>
    <row r="25" spans="1:15" customFormat="1" ht="39" customHeight="1" thickBot="1">
      <c r="A25" s="22"/>
      <c r="B25" s="20"/>
      <c r="C25" s="20"/>
      <c r="D25" s="20"/>
      <c r="E25" s="21"/>
      <c r="F25" s="20"/>
      <c r="G25" s="19"/>
      <c r="H25" s="18"/>
      <c r="I25" s="17"/>
      <c r="J25" s="16"/>
      <c r="K25" s="1"/>
      <c r="L25" s="15"/>
      <c r="M25" s="1"/>
      <c r="N25" s="1"/>
      <c r="O25" s="1"/>
    </row>
    <row r="26" spans="1:15" customFormat="1" ht="15.75" thickTop="1">
      <c r="A26" s="11"/>
      <c r="B26" s="14"/>
      <c r="C26" s="14"/>
      <c r="D26" s="14"/>
      <c r="E26" s="14"/>
      <c r="F26" s="14"/>
      <c r="G26" s="13"/>
      <c r="H26" s="13"/>
      <c r="I26" s="12"/>
      <c r="J26" s="1"/>
      <c r="K26" s="1"/>
      <c r="L26" s="1"/>
      <c r="M26" s="1"/>
      <c r="N26" s="1"/>
      <c r="O26" s="1"/>
    </row>
    <row r="27" spans="1:15" customFormat="1">
      <c r="A27" s="11"/>
      <c r="B27" s="14"/>
      <c r="C27" s="14"/>
      <c r="D27" s="14"/>
      <c r="E27" s="14"/>
      <c r="F27" s="14"/>
      <c r="G27" s="13"/>
      <c r="H27" s="13"/>
      <c r="I27" s="12"/>
      <c r="J27" s="1"/>
      <c r="K27" s="1"/>
      <c r="L27" s="1"/>
      <c r="M27" s="1"/>
      <c r="N27" s="1"/>
      <c r="O27" s="1"/>
    </row>
    <row r="28" spans="1:15" customFormat="1">
      <c r="A28" s="11"/>
      <c r="B28" s="10"/>
      <c r="C28" s="10"/>
      <c r="D28" s="10"/>
      <c r="E28" s="9"/>
      <c r="F28" s="9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>
      <c r="A29" s="2"/>
      <c r="B29" s="6"/>
      <c r="C29" s="6"/>
      <c r="D29" s="6"/>
      <c r="E29" s="1"/>
      <c r="F29" s="3"/>
      <c r="G29" s="4"/>
      <c r="H29" s="4"/>
      <c r="I29" s="8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7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F41" s="3"/>
      <c r="G41" s="4"/>
      <c r="H41" s="4"/>
    </row>
    <row r="42" spans="1:15" s="1" customFormat="1">
      <c r="A42" s="2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2011-08-24T12:16:42Z</dcterms:created>
  <dcterms:modified xsi:type="dcterms:W3CDTF">2011-08-24T12:17:45Z</dcterms:modified>
</cp:coreProperties>
</file>