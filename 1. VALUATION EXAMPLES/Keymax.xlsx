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/>
  <c r="K5" i="1"/>
  <c r="F14" i="1"/>
  <c r="I14" i="1"/>
  <c r="G14" i="1" s="1"/>
  <c r="I18" i="1"/>
  <c r="I21" i="1" s="1"/>
  <c r="I22" i="1" s="1"/>
  <c r="I23" i="1" s="1"/>
  <c r="I19" i="1"/>
  <c r="I20" i="1"/>
  <c r="K20" i="1"/>
  <c r="F21" i="1"/>
  <c r="E25" i="1"/>
  <c r="F25" i="1" s="1"/>
  <c r="H25" i="1" s="1"/>
  <c r="E39" i="1"/>
  <c r="I26" i="1" l="1"/>
  <c r="I28" i="1" s="1"/>
  <c r="G25" i="1"/>
  <c r="I27" i="1" l="1"/>
  <c r="E38" i="1" s="1"/>
  <c r="E42" i="1" s="1"/>
  <c r="I29" i="1"/>
  <c r="I31" i="1" l="1"/>
  <c r="I30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<sst xmlns="http://schemas.openxmlformats.org/spreadsheetml/2006/main" count="50" uniqueCount="43">
  <si>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</si>
  <si>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</si>
  <si>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</si>
  <si>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</si>
  <si>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</si>
  <si>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</si>
  <si>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</si>
  <si>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</si>
  <si>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</si>
  <si>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</si>
  <si>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</si>
  <si>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</si>
  <si>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</si>
  <si>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</si>
  <si>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</si>
  <si>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</si>
  <si>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</si>
  <si>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</si>
  <si>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</si>
  <si>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</si>
  <si>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</si>
  <si>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</si>
  <si>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</si>
  <si>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</si>
  <si>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</si>
  <si>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</si>
  <si>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</si>
  <si>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</si>
  <si>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</si>
  <si>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</si>
  <si>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warehouse /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</si>
  <si>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</si>
  <si>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</si>
  <si>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</si>
  <si>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</si>
  <si>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</si>
  <si>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</si>
  <si>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</si>
  <si>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</si>
  <si>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</si>
  <si>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</si>
  <si>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Keymax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</si>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</sst>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K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42</v>
      </c>
      <c r="B1" s="160" t="s">
        <v>41</v>
      </c>
      <c r="C1" s="160"/>
      <c r="D1" s="160"/>
      <c r="E1" s="158"/>
      <c r="F1" s="158"/>
      <c r="G1" s="159"/>
      <c r="H1" s="158"/>
      <c r="I1" s="157"/>
      <c r="J1" s="52"/>
    </row>
    <row r="2" spans="1:11" ht="20.25" customHeight="1" thickBot="1" x14ac:dyDescent="0.3">
      <c r="A2" s="156" t="s">
        <v>40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39</v>
      </c>
      <c r="B3" s="151" t="s">
        <v>38</v>
      </c>
      <c r="C3" s="151" t="s">
        <v>37</v>
      </c>
      <c r="D3" s="151" t="s">
        <v>36</v>
      </c>
      <c r="E3" s="151" t="s">
        <v>35</v>
      </c>
      <c r="F3" s="150" t="s">
        <v>34</v>
      </c>
      <c r="G3" s="149" t="s">
        <v>33</v>
      </c>
      <c r="H3" s="148" t="s">
        <v>32</v>
      </c>
      <c r="I3" s="147" t="s">
        <v>31</v>
      </c>
      <c r="J3" s="52"/>
    </row>
    <row r="4" spans="1:11" ht="24.75" x14ac:dyDescent="0.25">
      <c r="A4" s="145" t="s">
        <v>29</v>
      </c>
      <c r="B4" s="146" t="s">
        <v>30</v>
      </c>
      <c r="C4" s="141" t="s">
        <v>29</v>
      </c>
      <c r="D4" s="141"/>
      <c r="E4" s="141"/>
      <c r="F4" s="144">
        <v>3811</v>
      </c>
      <c r="G4" s="134">
        <v>45</v>
      </c>
      <c r="H4" s="143"/>
      <c r="I4" s="114">
        <f>G4*F4</f>
        <v>171495</v>
      </c>
      <c r="J4" s="52"/>
      <c r="K4" s="113">
        <f>I4*12</f>
        <v>2057940</v>
      </c>
    </row>
    <row r="5" spans="1:11" x14ac:dyDescent="0.25">
      <c r="A5" s="145"/>
      <c r="B5" s="146"/>
      <c r="C5" s="141"/>
      <c r="D5" s="141"/>
      <c r="E5" s="141"/>
      <c r="F5" s="144"/>
      <c r="G5" s="134"/>
      <c r="H5" s="143"/>
      <c r="I5" s="114"/>
      <c r="J5" s="52"/>
      <c r="K5" s="113">
        <f>I5*12</f>
        <v>0</v>
      </c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/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5"/>
      <c r="B8" s="121"/>
      <c r="C8" s="141"/>
      <c r="D8" s="141"/>
      <c r="E8" s="141"/>
      <c r="F8" s="144"/>
      <c r="G8" s="134"/>
      <c r="H8" s="143"/>
      <c r="I8" s="114"/>
      <c r="J8" s="52"/>
    </row>
    <row r="9" spans="1:11" x14ac:dyDescent="0.25">
      <c r="A9" s="145"/>
      <c r="B9" s="121"/>
      <c r="C9" s="141"/>
      <c r="D9" s="141"/>
      <c r="E9" s="141"/>
      <c r="F9" s="144"/>
      <c r="G9" s="134"/>
      <c r="H9" s="143"/>
      <c r="I9" s="114"/>
      <c r="J9" s="52"/>
    </row>
    <row r="10" spans="1:11" x14ac:dyDescent="0.25">
      <c r="A10" s="145"/>
      <c r="B10" s="121"/>
      <c r="C10" s="141"/>
      <c r="D10" s="141"/>
      <c r="E10" s="141"/>
      <c r="F10" s="144"/>
      <c r="G10" s="134"/>
      <c r="H10" s="143"/>
      <c r="I10" s="114"/>
      <c r="J10" s="52"/>
    </row>
    <row r="11" spans="1:11" x14ac:dyDescent="0.25">
      <c r="A11" s="145"/>
      <c r="B11" s="121"/>
      <c r="C11" s="141"/>
      <c r="D11" s="141"/>
      <c r="E11" s="141"/>
      <c r="F11" s="144"/>
      <c r="G11" s="134"/>
      <c r="H11" s="143"/>
      <c r="I11" s="114"/>
      <c r="J11" s="52"/>
    </row>
    <row r="12" spans="1:11" x14ac:dyDescent="0.25">
      <c r="A12" s="145"/>
      <c r="B12" s="121"/>
      <c r="C12" s="141"/>
      <c r="D12" s="141"/>
      <c r="E12" s="141"/>
      <c r="F12" s="144"/>
      <c r="G12" s="134"/>
      <c r="H12" s="143"/>
      <c r="I12" s="114"/>
      <c r="J12" s="52"/>
    </row>
    <row r="13" spans="1:11" x14ac:dyDescent="0.25">
      <c r="A13" s="142" t="s">
        <v>28</v>
      </c>
      <c r="B13" s="118" t="s">
        <v>28</v>
      </c>
      <c r="C13" s="125" t="s">
        <v>28</v>
      </c>
      <c r="D13" s="141" t="s">
        <v>28</v>
      </c>
      <c r="E13" s="141" t="s">
        <v>28</v>
      </c>
      <c r="F13" s="140"/>
      <c r="G13" s="139"/>
      <c r="H13" s="138"/>
      <c r="I13" s="114"/>
      <c r="J13" s="52"/>
    </row>
    <row r="14" spans="1:11" x14ac:dyDescent="0.25">
      <c r="A14" s="137" t="s">
        <v>16</v>
      </c>
      <c r="B14" s="136"/>
      <c r="C14" s="136"/>
      <c r="D14" s="136"/>
      <c r="E14" s="136"/>
      <c r="F14" s="135">
        <f>SUM(F4:F13)</f>
        <v>3811</v>
      </c>
      <c r="G14" s="134">
        <f>I14/F14-H14</f>
        <v>45</v>
      </c>
      <c r="H14" s="133">
        <v>0</v>
      </c>
      <c r="I14" s="133">
        <f>SUM(I4:I13)</f>
        <v>171495</v>
      </c>
      <c r="J14" s="52"/>
    </row>
    <row r="15" spans="1:11" x14ac:dyDescent="0.25">
      <c r="A15" s="132"/>
      <c r="B15" s="131"/>
      <c r="C15" s="131"/>
      <c r="D15" s="131"/>
      <c r="E15" s="130"/>
      <c r="F15" s="129"/>
      <c r="G15" s="128"/>
      <c r="H15" s="115"/>
      <c r="I15" s="114"/>
      <c r="J15" s="52"/>
    </row>
    <row r="16" spans="1:11" x14ac:dyDescent="0.25">
      <c r="A16" s="127" t="s">
        <v>27</v>
      </c>
      <c r="B16" s="126"/>
      <c r="C16" s="126"/>
      <c r="D16" s="126"/>
      <c r="E16" s="125"/>
      <c r="F16" s="124" t="s">
        <v>26</v>
      </c>
      <c r="G16" s="123" t="s">
        <v>25</v>
      </c>
      <c r="H16" s="115"/>
      <c r="I16" s="114"/>
      <c r="J16" s="52"/>
    </row>
    <row r="17" spans="1:11" x14ac:dyDescent="0.25">
      <c r="A17" s="122"/>
      <c r="B17" s="35"/>
      <c r="C17" s="35"/>
      <c r="D17" s="35"/>
      <c r="E17" s="121"/>
      <c r="F17" s="117"/>
      <c r="G17" s="116"/>
      <c r="H17" s="115"/>
      <c r="I17" s="114"/>
      <c r="J17" s="52"/>
    </row>
    <row r="18" spans="1:11" x14ac:dyDescent="0.25">
      <c r="A18" s="122"/>
      <c r="B18" s="35"/>
      <c r="C18" s="35"/>
      <c r="D18" s="35"/>
      <c r="E18" s="121" t="s">
        <v>24</v>
      </c>
      <c r="F18" s="117"/>
      <c r="G18" s="116"/>
      <c r="H18" s="115"/>
      <c r="I18" s="114">
        <f>G18*F18</f>
        <v>0</v>
      </c>
      <c r="J18" s="52"/>
    </row>
    <row r="19" spans="1:11" x14ac:dyDescent="0.25">
      <c r="A19" s="122"/>
      <c r="B19" s="35"/>
      <c r="C19" s="35"/>
      <c r="D19" s="35"/>
      <c r="E19" s="121" t="s">
        <v>23</v>
      </c>
      <c r="F19" s="117"/>
      <c r="G19" s="116"/>
      <c r="H19" s="115"/>
      <c r="I19" s="114">
        <f>G19*F19</f>
        <v>0</v>
      </c>
      <c r="J19" s="52"/>
    </row>
    <row r="20" spans="1:11" x14ac:dyDescent="0.25">
      <c r="A20" s="120"/>
      <c r="B20" s="119"/>
      <c r="C20" s="119"/>
      <c r="D20" s="119"/>
      <c r="E20" s="118" t="s">
        <v>22</v>
      </c>
      <c r="F20" s="117">
        <v>0</v>
      </c>
      <c r="G20" s="116">
        <v>0</v>
      </c>
      <c r="H20" s="115"/>
      <c r="I20" s="114">
        <f>G20*F20</f>
        <v>0</v>
      </c>
      <c r="J20" s="52"/>
      <c r="K20" s="113">
        <f>I20*12</f>
        <v>0</v>
      </c>
    </row>
    <row r="21" spans="1:11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SUM(I18:I20)</f>
        <v>0</v>
      </c>
      <c r="J21" s="52"/>
    </row>
    <row r="22" spans="1:11" ht="18.75" customHeight="1" thickBot="1" x14ac:dyDescent="0.3">
      <c r="A22" s="105" t="s">
        <v>21</v>
      </c>
      <c r="B22" s="104"/>
      <c r="C22" s="104"/>
      <c r="D22" s="104"/>
      <c r="E22" s="103"/>
      <c r="F22" s="102"/>
      <c r="G22" s="101"/>
      <c r="H22" s="96"/>
      <c r="I22" s="94">
        <f>+I21+I14</f>
        <v>171495</v>
      </c>
      <c r="J22" s="52"/>
    </row>
    <row r="23" spans="1:11" ht="18.75" customHeight="1" thickBot="1" x14ac:dyDescent="0.3">
      <c r="A23" s="100" t="s">
        <v>20</v>
      </c>
      <c r="B23" s="99"/>
      <c r="C23" s="99"/>
      <c r="D23" s="99"/>
      <c r="E23" s="98"/>
      <c r="F23" s="97"/>
      <c r="G23" s="96"/>
      <c r="H23" s="95"/>
      <c r="I23" s="94">
        <f>+I22*12</f>
        <v>2057940</v>
      </c>
      <c r="J23" s="52"/>
    </row>
    <row r="24" spans="1:11" ht="18.75" customHeight="1" x14ac:dyDescent="0.25">
      <c r="A24" s="93" t="s">
        <v>19</v>
      </c>
      <c r="B24" s="92"/>
      <c r="C24" s="92"/>
      <c r="D24" s="92"/>
      <c r="E24" s="91"/>
      <c r="F24" s="91" t="s">
        <v>18</v>
      </c>
      <c r="G24" s="90" t="s">
        <v>17</v>
      </c>
      <c r="H24" s="89"/>
      <c r="I24" s="88"/>
      <c r="J24" s="52"/>
    </row>
    <row r="25" spans="1:11" ht="15.75" thickBot="1" x14ac:dyDescent="0.3">
      <c r="A25" s="87" t="s">
        <v>16</v>
      </c>
      <c r="B25" s="86"/>
      <c r="C25" s="86"/>
      <c r="D25" s="86"/>
      <c r="E25" s="85">
        <f>388211/12</f>
        <v>32350.916666666668</v>
      </c>
      <c r="F25" s="85">
        <f>E25*12</f>
        <v>388211</v>
      </c>
      <c r="G25" s="84">
        <f>E25/F14</f>
        <v>8.4888262048456227</v>
      </c>
      <c r="H25" s="83">
        <f>F25/I23</f>
        <v>0.18864058232990272</v>
      </c>
      <c r="I25" s="82"/>
      <c r="J25" s="52"/>
    </row>
    <row r="26" spans="1:11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0.03</v>
      </c>
      <c r="I26" s="75">
        <f>+I23*-H26</f>
        <v>-61738.2</v>
      </c>
      <c r="J26" s="52"/>
    </row>
    <row r="27" spans="1:11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133999.23333333334</v>
      </c>
      <c r="J27" s="52"/>
    </row>
    <row r="28" spans="1:11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1607990.8</v>
      </c>
      <c r="J28" s="52"/>
    </row>
    <row r="29" spans="1:11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0.12</v>
      </c>
      <c r="I29" s="65">
        <f>+I28/H29</f>
        <v>13399923.333333334</v>
      </c>
      <c r="J29" s="52"/>
    </row>
    <row r="30" spans="1:11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13400000</v>
      </c>
      <c r="J30" s="52"/>
    </row>
    <row r="31" spans="1:11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9380000</v>
      </c>
      <c r="J31" s="52"/>
    </row>
    <row r="32" spans="1:11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0.1044776119402985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0.89552238805970152</v>
      </c>
      <c r="C35" s="44"/>
      <c r="D35" s="43"/>
      <c r="E35" s="42">
        <f>E36 - E34</f>
        <v>12000000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13400000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133999.23333333334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114315.87117627609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2011-08-24T11:55:01Z</dcterms:created>
  <dcterms:modified xsi:type="dcterms:W3CDTF">2011-08-24T11:55:20Z</dcterms:modified>
</cp:coreProperties>
</file>