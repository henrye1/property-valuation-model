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14" s="1"/>
  <c r="G14" s="1"/>
  <c r="I6"/>
  <c r="I7"/>
  <c r="I8"/>
  <c r="I9"/>
  <c r="I10"/>
  <c r="I11"/>
  <c r="F14"/>
  <c r="I18"/>
  <c r="I19"/>
  <c r="I21" s="1"/>
  <c r="I20"/>
  <c r="F21"/>
  <c r="E25"/>
  <c r="F25" s="1"/>
  <c r="G25"/>
  <c r="I22" l="1"/>
  <c r="I23" s="1"/>
  <c r="H25" s="1"/>
  <c r="I26" l="1"/>
  <c r="I28" s="1"/>
  <c r="I27" l="1"/>
  <c r="I29"/>
  <c r="I30" s="1"/>
</calcChain>
</file>

<file path=xl/sharedStrings.xml><?xml version="1.0" encoding="utf-8"?>
<sst xmlns="http://schemas.openxmlformats.org/spreadsheetml/2006/main" count="71" uniqueCount="40">
  <si>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</si>
  <si>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</si>
  <si>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</si>
  <si>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</si>
  <si>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</si>
  <si>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</si>
  <si>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</si>
  <si>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</si>
  <si>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</si>
  <si>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</si>
  <si>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</si>
  <si>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</si>
  <si>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</si>
  <si>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</si>
  <si>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</si>
  <si>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</si>
  <si>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</si>
  <si>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</si>
  <si>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n/a</t>
  </si>
  <si>
    <t>Owner Occupied</t>
  </si>
  <si>
    <t>Consulting rooms</t>
  </si>
  <si>
    <t>Admin Area</t>
  </si>
  <si>
    <t>Pharmacy</t>
  </si>
  <si>
    <t>Lab</t>
  </si>
  <si>
    <t>x ray ward</t>
  </si>
  <si>
    <t>Theaters</t>
  </si>
  <si>
    <t>Restaurant</t>
  </si>
  <si>
    <t>Beds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</si>
  <si>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</si>
  <si>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</si>
  <si>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</si>
  <si>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</si>
  <si>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</si>
  <si>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</si>
  <si>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</si>
  <si>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</si>
  <si>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</si>
  <si>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</si>
  <si>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Clinix Health - Meadowlands</t>
  </si>
  <si>
    <t xml:space="preserve">Building name :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</si>
</sst>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4" fontId="0" fillId="0" borderId="0" xfId="0" applyNumberFormat="1" applyBorder="1"/>
    <xf numFmtId="166" fontId="4" fillId="0" borderId="1" xfId="0" applyNumberFormat="1" applyFont="1" applyBorder="1"/>
    <xf numFmtId="10" fontId="4" fillId="2" borderId="2" xfId="1" applyNumberFormat="1" applyFont="1" applyFill="1" applyBorder="1"/>
    <xf numFmtId="164" fontId="4" fillId="0" borderId="3" xfId="0" applyNumberFormat="1" applyFont="1" applyBorder="1"/>
    <xf numFmtId="49" fontId="4" fillId="0" borderId="3" xfId="0" applyNumberFormat="1" applyFont="1" applyBorder="1" applyAlignment="1">
      <alignment horizontal="left" wrapText="1"/>
    </xf>
    <xf numFmtId="49" fontId="3" fillId="0" borderId="3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166" fontId="3" fillId="0" borderId="5" xfId="0" applyNumberFormat="1" applyFont="1" applyBorder="1"/>
    <xf numFmtId="10" fontId="4" fillId="2" borderId="6" xfId="1" applyNumberFormat="1" applyFont="1" applyFill="1" applyBorder="1"/>
    <xf numFmtId="9" fontId="3" fillId="0" borderId="7" xfId="1" applyFont="1" applyBorder="1"/>
    <xf numFmtId="49" fontId="3" fillId="0" borderId="7" xfId="0" applyNumberFormat="1" applyFont="1" applyBorder="1" applyAlignment="1">
      <alignment horizontal="left" wrapText="1"/>
    </xf>
    <xf numFmtId="49" fontId="4" fillId="0" borderId="7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164" fontId="3" fillId="0" borderId="7" xfId="0" applyNumberFormat="1" applyFont="1" applyBorder="1"/>
    <xf numFmtId="4" fontId="0" fillId="0" borderId="0" xfId="0" applyNumberFormat="1"/>
    <xf numFmtId="166" fontId="3" fillId="0" borderId="9" xfId="0" applyNumberFormat="1" applyFont="1" applyBorder="1"/>
    <xf numFmtId="10" fontId="4" fillId="2" borderId="10" xfId="1" applyNumberFormat="1" applyFont="1" applyFill="1" applyBorder="1"/>
    <xf numFmtId="9" fontId="3" fillId="0" borderId="11" xfId="1" applyFont="1" applyBorder="1"/>
    <xf numFmtId="49" fontId="3" fillId="0" borderId="11" xfId="0" applyNumberFormat="1" applyFont="1" applyBorder="1" applyAlignment="1">
      <alignment wrapText="1"/>
    </xf>
    <xf numFmtId="49" fontId="3" fillId="0" borderId="11" xfId="0" applyNumberFormat="1" applyFont="1" applyBorder="1" applyAlignment="1">
      <alignment horizontal="left" wrapText="1"/>
    </xf>
    <xf numFmtId="49" fontId="4" fillId="0" borderId="11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166" fontId="3" fillId="0" borderId="13" xfId="0" applyNumberFormat="1" applyFont="1" applyBorder="1"/>
    <xf numFmtId="10" fontId="4" fillId="2" borderId="14" xfId="1" applyNumberFormat="1" applyFont="1" applyFill="1" applyBorder="1"/>
    <xf numFmtId="9" fontId="3" fillId="0" borderId="15" xfId="1" applyFont="1" applyBorder="1"/>
    <xf numFmtId="49" fontId="3" fillId="0" borderId="15" xfId="0" applyNumberFormat="1" applyFont="1" applyBorder="1" applyAlignment="1">
      <alignment wrapText="1"/>
    </xf>
    <xf numFmtId="49" fontId="3" fillId="0" borderId="15" xfId="0" applyNumberFormat="1" applyFont="1" applyBorder="1" applyAlignment="1">
      <alignment horizontal="left" wrapText="1"/>
    </xf>
    <xf numFmtId="49" fontId="4" fillId="0" borderId="15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166" fontId="3" fillId="0" borderId="17" xfId="0" applyNumberFormat="1" applyFont="1" applyBorder="1"/>
    <xf numFmtId="10" fontId="3" fillId="0" borderId="18" xfId="1" applyNumberFormat="1" applyFont="1" applyBorder="1"/>
    <xf numFmtId="167" fontId="3" fillId="0" borderId="19" xfId="0" applyNumberFormat="1" applyFont="1" applyBorder="1" applyAlignment="1">
      <alignment horizontal="right" wrapText="1"/>
    </xf>
    <xf numFmtId="165" fontId="3" fillId="3" borderId="19" xfId="0" applyNumberFormat="1" applyFont="1" applyFill="1" applyBorder="1" applyAlignment="1">
      <alignment horizontal="right" wrapText="1"/>
    </xf>
    <xf numFmtId="49" fontId="3" fillId="0" borderId="20" xfId="0" applyNumberFormat="1" applyFont="1" applyBorder="1" applyAlignment="1">
      <alignment horizontal="left" wrapText="1"/>
    </xf>
    <xf numFmtId="49" fontId="2" fillId="0" borderId="21" xfId="0" applyNumberFormat="1" applyFont="1" applyBorder="1" applyAlignment="1">
      <alignment horizontal="left" wrapText="1"/>
    </xf>
    <xf numFmtId="166" fontId="3" fillId="0" borderId="22" xfId="0" applyNumberFormat="1" applyFont="1" applyBorder="1"/>
    <xf numFmtId="164" fontId="3" fillId="0" borderId="23" xfId="0" applyNumberFormat="1" applyFont="1" applyBorder="1"/>
    <xf numFmtId="10" fontId="4" fillId="0" borderId="24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wrapText="1"/>
    </xf>
    <xf numFmtId="49" fontId="4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166" fontId="4" fillId="0" borderId="27" xfId="0" applyNumberFormat="1" applyFont="1" applyBorder="1"/>
    <xf numFmtId="14" fontId="4" fillId="0" borderId="28" xfId="0" applyNumberFormat="1" applyFont="1" applyBorder="1"/>
    <xf numFmtId="164" fontId="4" fillId="0" borderId="28" xfId="0" applyNumberFormat="1" applyFont="1" applyBorder="1"/>
    <xf numFmtId="49" fontId="4" fillId="0" borderId="29" xfId="0" applyNumberFormat="1" applyFont="1" applyBorder="1" applyAlignment="1">
      <alignment horizontal="centerContinuous" wrapText="1"/>
    </xf>
    <xf numFmtId="49" fontId="4" fillId="0" borderId="29" xfId="0" applyNumberFormat="1" applyFont="1" applyBorder="1" applyAlignment="1">
      <alignment horizontal="left" wrapText="1"/>
    </xf>
    <xf numFmtId="14" fontId="4" fillId="0" borderId="29" xfId="0" applyNumberFormat="1" applyFont="1" applyBorder="1"/>
    <xf numFmtId="14" fontId="5" fillId="0" borderId="30" xfId="0" applyNumberFormat="1" applyFont="1" applyBorder="1"/>
    <xf numFmtId="164" fontId="4" fillId="0" borderId="27" xfId="0" applyNumberFormat="1" applyFont="1" applyBorder="1"/>
    <xf numFmtId="1" fontId="4" fillId="0" borderId="28" xfId="0" applyNumberFormat="1" applyFont="1" applyBorder="1"/>
    <xf numFmtId="49" fontId="4" fillId="0" borderId="27" xfId="0" applyNumberFormat="1" applyFont="1" applyBorder="1" applyAlignment="1">
      <alignment horizontal="left" wrapText="1"/>
    </xf>
    <xf numFmtId="49" fontId="4" fillId="0" borderId="28" xfId="0" applyNumberFormat="1" applyFont="1" applyBorder="1" applyAlignment="1">
      <alignment horizontal="left" wrapText="1"/>
    </xf>
    <xf numFmtId="49" fontId="5" fillId="0" borderId="31" xfId="0" applyNumberFormat="1" applyFont="1" applyBorder="1" applyAlignment="1">
      <alignment horizontal="left" wrapText="1"/>
    </xf>
    <xf numFmtId="166" fontId="4" fillId="4" borderId="27" xfId="0" applyNumberFormat="1" applyFont="1" applyFill="1" applyBorder="1"/>
    <xf numFmtId="164" fontId="4" fillId="4" borderId="28" xfId="0" applyNumberFormat="1" applyFont="1" applyFill="1" applyBorder="1"/>
    <xf numFmtId="164" fontId="4" fillId="4" borderId="27" xfId="0" applyNumberFormat="1" applyFont="1" applyFill="1" applyBorder="1"/>
    <xf numFmtId="1" fontId="4" fillId="4" borderId="28" xfId="0" applyNumberFormat="1" applyFont="1" applyFill="1" applyBorder="1"/>
    <xf numFmtId="49" fontId="4" fillId="4" borderId="27" xfId="0" applyNumberFormat="1" applyFont="1" applyFill="1" applyBorder="1" applyAlignment="1">
      <alignment horizontal="left" wrapText="1"/>
    </xf>
    <xf numFmtId="49" fontId="3" fillId="0" borderId="28" xfId="0" applyNumberFormat="1" applyFont="1" applyBorder="1" applyAlignment="1">
      <alignment horizontal="left" wrapText="1"/>
    </xf>
    <xf numFmtId="49" fontId="2" fillId="0" borderId="31" xfId="0" applyNumberFormat="1" applyFont="1" applyBorder="1" applyAlignment="1">
      <alignment horizontal="left" wrapText="1"/>
    </xf>
    <xf numFmtId="166" fontId="3" fillId="0" borderId="32" xfId="0" applyNumberFormat="1" applyFont="1" applyBorder="1"/>
    <xf numFmtId="164" fontId="3" fillId="0" borderId="0" xfId="0" applyNumberFormat="1" applyFont="1" applyBorder="1"/>
    <xf numFmtId="164" fontId="3" fillId="0" borderId="32" xfId="0" applyNumberFormat="1" applyFont="1" applyBorder="1"/>
    <xf numFmtId="1" fontId="3" fillId="0" borderId="0" xfId="0" applyNumberFormat="1" applyFont="1" applyBorder="1"/>
    <xf numFmtId="49" fontId="3" fillId="0" borderId="33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right" wrapText="1"/>
    </xf>
    <xf numFmtId="49" fontId="2" fillId="0" borderId="35" xfId="0" applyNumberFormat="1" applyFont="1" applyBorder="1" applyAlignment="1">
      <alignment horizontal="right" wrapText="1"/>
    </xf>
    <xf numFmtId="49" fontId="3" fillId="0" borderId="32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6" xfId="0" applyNumberFormat="1" applyFont="1" applyBorder="1" applyAlignment="1">
      <alignment horizontal="right" wrapText="1"/>
    </xf>
    <xf numFmtId="164" fontId="4" fillId="0" borderId="33" xfId="0" applyNumberFormat="1" applyFont="1" applyBorder="1" applyAlignment="1">
      <alignment horizontal="center"/>
    </xf>
    <xf numFmtId="1" fontId="4" fillId="0" borderId="34" xfId="0" applyNumberFormat="1" applyFont="1" applyBorder="1" applyAlignment="1">
      <alignment horizontal="center"/>
    </xf>
    <xf numFmtId="49" fontId="3" fillId="0" borderId="33" xfId="0" applyNumberFormat="1" applyFont="1" applyBorder="1" applyAlignment="1">
      <alignment horizontal="center" wrapText="1"/>
    </xf>
    <xf numFmtId="49" fontId="4" fillId="0" borderId="34" xfId="0" applyNumberFormat="1" applyFont="1" applyBorder="1" applyAlignment="1">
      <alignment horizontal="center" wrapText="1"/>
    </xf>
    <xf numFmtId="49" fontId="5" fillId="0" borderId="35" xfId="0" applyNumberFormat="1" applyFont="1" applyBorder="1" applyAlignment="1">
      <alignment horizontal="center" wrapText="1"/>
    </xf>
    <xf numFmtId="164" fontId="3" fillId="3" borderId="37" xfId="0" applyNumberFormat="1" applyFont="1" applyFill="1" applyBorder="1"/>
    <xf numFmtId="1" fontId="3" fillId="3" borderId="38" xfId="0" applyNumberFormat="1" applyFont="1" applyFill="1" applyBorder="1"/>
    <xf numFmtId="49" fontId="3" fillId="3" borderId="37" xfId="0" applyNumberFormat="1" applyFont="1" applyFill="1" applyBorder="1" applyAlignment="1">
      <alignment horizontal="left" wrapText="1"/>
    </xf>
    <xf numFmtId="49" fontId="3" fillId="3" borderId="38" xfId="0" applyNumberFormat="1" applyFont="1" applyFill="1" applyBorder="1" applyAlignment="1">
      <alignment horizontal="left" wrapText="1"/>
    </xf>
    <xf numFmtId="49" fontId="2" fillId="3" borderId="39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37" xfId="0" applyNumberFormat="1" applyFont="1" applyBorder="1"/>
    <xf numFmtId="165" fontId="3" fillId="0" borderId="40" xfId="0" applyNumberFormat="1" applyFont="1" applyBorder="1"/>
    <xf numFmtId="4" fontId="3" fillId="0" borderId="32" xfId="0" applyNumberFormat="1" applyFont="1" applyBorder="1"/>
    <xf numFmtId="3" fontId="3" fillId="0" borderId="38" xfId="0" applyNumberFormat="1" applyFont="1" applyBorder="1"/>
    <xf numFmtId="49" fontId="3" fillId="0" borderId="37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166" fontId="2" fillId="0" borderId="32" xfId="0" applyNumberFormat="1" applyFont="1" applyBorder="1"/>
    <xf numFmtId="4" fontId="3" fillId="0" borderId="34" xfId="0" applyNumberFormat="1" applyFont="1" applyBorder="1"/>
    <xf numFmtId="4" fontId="3" fillId="0" borderId="33" xfId="0" applyNumberFormat="1" applyFont="1" applyBorder="1"/>
    <xf numFmtId="3" fontId="3" fillId="0" borderId="34" xfId="0" applyNumberFormat="1" applyFont="1" applyBorder="1"/>
    <xf numFmtId="49" fontId="2" fillId="0" borderId="32" xfId="0" applyNumberFormat="1" applyFont="1" applyBorder="1" applyAlignment="1">
      <alignment horizontal="center" wrapText="1"/>
    </xf>
    <xf numFmtId="49" fontId="3" fillId="0" borderId="41" xfId="0" applyNumberFormat="1" applyFont="1" applyBorder="1" applyAlignment="1">
      <alignment horizontal="center" wrapText="1"/>
    </xf>
    <xf numFmtId="49" fontId="3" fillId="0" borderId="27" xfId="0" applyNumberFormat="1" applyFont="1" applyBorder="1" applyAlignment="1">
      <alignment horizontal="left" wrapText="1"/>
    </xf>
    <xf numFmtId="49" fontId="2" fillId="0" borderId="35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2" xfId="0" applyNumberFormat="1" applyFont="1" applyBorder="1"/>
    <xf numFmtId="0" fontId="2" fillId="0" borderId="0" xfId="0" applyNumberFormat="1" applyFont="1" applyBorder="1" applyAlignment="1">
      <alignment horizontal="center" wrapText="1"/>
    </xf>
    <xf numFmtId="49" fontId="2" fillId="0" borderId="42" xfId="0" applyNumberFormat="1" applyFont="1" applyBorder="1" applyAlignment="1">
      <alignment horizontal="center" wrapText="1"/>
    </xf>
    <xf numFmtId="49" fontId="2" fillId="0" borderId="32" xfId="0" applyNumberFormat="1" applyFont="1" applyBorder="1" applyAlignment="1">
      <alignment horizontal="left" wrapText="1"/>
    </xf>
    <xf numFmtId="49" fontId="2" fillId="0" borderId="36" xfId="0" applyNumberFormat="1" applyFont="1" applyBorder="1" applyAlignment="1">
      <alignment horizontal="left" wrapText="1"/>
    </xf>
    <xf numFmtId="0" fontId="2" fillId="0" borderId="32" xfId="0" applyNumberFormat="1" applyFont="1" applyBorder="1" applyAlignment="1">
      <alignment horizontal="center" wrapText="1"/>
    </xf>
    <xf numFmtId="49" fontId="2" fillId="0" borderId="43" xfId="0" applyNumberFormat="1" applyFont="1" applyBorder="1" applyAlignment="1">
      <alignment horizontal="left" wrapText="1"/>
    </xf>
    <xf numFmtId="49" fontId="4" fillId="0" borderId="44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4" fillId="0" borderId="43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8" xfId="0" applyNumberFormat="1" applyFont="1" applyBorder="1"/>
    <xf numFmtId="15" fontId="3" fillId="0" borderId="28" xfId="0" applyNumberFormat="1" applyFont="1" applyBorder="1"/>
    <xf numFmtId="14" fontId="2" fillId="0" borderId="46" xfId="0" applyNumberFormat="1" applyFont="1" applyBorder="1"/>
    <xf numFmtId="14" fontId="3" fillId="0" borderId="47" xfId="0" applyNumberFormat="1" applyFont="1" applyBorder="1"/>
    <xf numFmtId="14" fontId="3" fillId="0" borderId="48" xfId="0" applyNumberFormat="1" applyFont="1" applyBorder="1"/>
    <xf numFmtId="14" fontId="7" fillId="0" borderId="48" xfId="0" applyNumberFormat="1" applyFont="1" applyBorder="1"/>
    <xf numFmtId="14" fontId="8" fillId="0" borderId="4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4"/>
  <sheetViews>
    <sheetView tabSelected="1" workbookViewId="0">
      <selection activeCell="B1" sqref="B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6.5703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2" t="s">
        <v>39</v>
      </c>
      <c r="B1" s="131" t="s">
        <v>38</v>
      </c>
      <c r="C1" s="131"/>
      <c r="D1" s="131"/>
      <c r="E1" s="130"/>
      <c r="F1" s="130"/>
      <c r="G1" s="130"/>
      <c r="H1" s="130"/>
      <c r="I1" s="129"/>
      <c r="J1" s="15"/>
    </row>
    <row r="2" spans="1:13" s="1" customFormat="1" ht="20.25" customHeight="1" thickBot="1">
      <c r="A2" s="128" t="s">
        <v>37</v>
      </c>
      <c r="B2" s="126"/>
      <c r="C2" s="126"/>
      <c r="D2" s="126"/>
      <c r="E2" s="127">
        <v>40743</v>
      </c>
      <c r="F2" s="126"/>
      <c r="G2" s="126"/>
      <c r="H2" s="126"/>
      <c r="I2" s="125"/>
      <c r="J2" s="15"/>
    </row>
    <row r="3" spans="1:13" s="1" customFormat="1" ht="63.75" customHeight="1" thickBot="1">
      <c r="A3" s="124" t="s">
        <v>36</v>
      </c>
      <c r="B3" s="123" t="s">
        <v>35</v>
      </c>
      <c r="C3" s="122" t="s">
        <v>34</v>
      </c>
      <c r="D3" s="122" t="s">
        <v>33</v>
      </c>
      <c r="E3" s="122" t="s">
        <v>32</v>
      </c>
      <c r="F3" s="121" t="s">
        <v>31</v>
      </c>
      <c r="G3" s="119" t="s">
        <v>30</v>
      </c>
      <c r="H3" s="120" t="s">
        <v>29</v>
      </c>
      <c r="I3" s="119" t="s">
        <v>28</v>
      </c>
      <c r="J3" s="15"/>
    </row>
    <row r="4" spans="1:13" s="1" customFormat="1">
      <c r="A4" s="116" t="s">
        <v>27</v>
      </c>
      <c r="B4" s="118" t="s">
        <v>19</v>
      </c>
      <c r="C4" s="114" t="s">
        <v>18</v>
      </c>
      <c r="D4" s="107" t="s">
        <v>17</v>
      </c>
      <c r="E4" s="107" t="s">
        <v>17</v>
      </c>
      <c r="F4" s="117">
        <v>125</v>
      </c>
      <c r="G4" s="112">
        <v>5200</v>
      </c>
      <c r="H4" s="111"/>
      <c r="I4" s="103">
        <f>G4*F4</f>
        <v>650000</v>
      </c>
      <c r="J4" s="15"/>
      <c r="L4" s="96"/>
      <c r="M4" s="95"/>
    </row>
    <row r="5" spans="1:13" s="1" customFormat="1">
      <c r="A5" s="116" t="s">
        <v>26</v>
      </c>
      <c r="B5" s="115" t="s">
        <v>19</v>
      </c>
      <c r="C5" s="114" t="s">
        <v>18</v>
      </c>
      <c r="D5" s="107" t="s">
        <v>17</v>
      </c>
      <c r="E5" s="107" t="s">
        <v>17</v>
      </c>
      <c r="F5" s="113">
        <v>100</v>
      </c>
      <c r="G5" s="112">
        <v>85</v>
      </c>
      <c r="H5" s="111"/>
      <c r="I5" s="103">
        <f>G5*F5</f>
        <v>8500</v>
      </c>
      <c r="J5" s="15"/>
      <c r="L5" s="96"/>
      <c r="M5" s="95"/>
    </row>
    <row r="6" spans="1:13" s="1" customFormat="1">
      <c r="A6" s="116" t="s">
        <v>25</v>
      </c>
      <c r="B6" s="115" t="s">
        <v>19</v>
      </c>
      <c r="C6" s="114" t="s">
        <v>18</v>
      </c>
      <c r="D6" s="107" t="s">
        <v>17</v>
      </c>
      <c r="E6" s="107" t="s">
        <v>17</v>
      </c>
      <c r="F6" s="113">
        <v>243</v>
      </c>
      <c r="G6" s="112">
        <v>120</v>
      </c>
      <c r="H6" s="111"/>
      <c r="I6" s="103">
        <f>G6*F6</f>
        <v>29160</v>
      </c>
      <c r="J6" s="15"/>
      <c r="L6" s="96"/>
      <c r="M6" s="95"/>
    </row>
    <row r="7" spans="1:13" s="1" customFormat="1">
      <c r="A7" s="116" t="s">
        <v>24</v>
      </c>
      <c r="B7" s="115" t="s">
        <v>19</v>
      </c>
      <c r="C7" s="114" t="s">
        <v>18</v>
      </c>
      <c r="D7" s="107" t="s">
        <v>17</v>
      </c>
      <c r="E7" s="107" t="s">
        <v>17</v>
      </c>
      <c r="F7" s="113">
        <v>186</v>
      </c>
      <c r="G7" s="112">
        <v>85</v>
      </c>
      <c r="H7" s="111"/>
      <c r="I7" s="103">
        <f>G7*F7</f>
        <v>15810</v>
      </c>
      <c r="J7" s="15"/>
      <c r="L7" s="96"/>
      <c r="M7" s="95"/>
    </row>
    <row r="8" spans="1:13" s="1" customFormat="1">
      <c r="A8" s="116" t="s">
        <v>23</v>
      </c>
      <c r="B8" s="115" t="s">
        <v>19</v>
      </c>
      <c r="C8" s="114" t="s">
        <v>18</v>
      </c>
      <c r="D8" s="107" t="s">
        <v>17</v>
      </c>
      <c r="E8" s="107" t="s">
        <v>17</v>
      </c>
      <c r="F8" s="113">
        <v>186</v>
      </c>
      <c r="G8" s="112">
        <v>85</v>
      </c>
      <c r="H8" s="111"/>
      <c r="I8" s="103">
        <f>G8*F8</f>
        <v>15810</v>
      </c>
      <c r="J8" s="15"/>
      <c r="L8" s="96"/>
      <c r="M8" s="95"/>
    </row>
    <row r="9" spans="1:13" s="1" customFormat="1">
      <c r="A9" s="116" t="s">
        <v>22</v>
      </c>
      <c r="B9" s="115" t="s">
        <v>19</v>
      </c>
      <c r="C9" s="114" t="s">
        <v>18</v>
      </c>
      <c r="D9" s="107" t="s">
        <v>17</v>
      </c>
      <c r="E9" s="107" t="s">
        <v>17</v>
      </c>
      <c r="F9" s="113">
        <v>133</v>
      </c>
      <c r="G9" s="112">
        <v>85</v>
      </c>
      <c r="H9" s="111"/>
      <c r="I9" s="103">
        <f>G9*F9</f>
        <v>11305</v>
      </c>
      <c r="J9" s="15"/>
      <c r="L9" s="96"/>
      <c r="M9" s="95"/>
    </row>
    <row r="10" spans="1:13" s="1" customFormat="1">
      <c r="A10" s="116" t="s">
        <v>21</v>
      </c>
      <c r="B10" s="115" t="s">
        <v>19</v>
      </c>
      <c r="C10" s="114" t="s">
        <v>18</v>
      </c>
      <c r="D10" s="107" t="s">
        <v>17</v>
      </c>
      <c r="E10" s="107" t="s">
        <v>17</v>
      </c>
      <c r="F10" s="113">
        <v>312</v>
      </c>
      <c r="G10" s="112">
        <v>85</v>
      </c>
      <c r="H10" s="111"/>
      <c r="I10" s="103">
        <f>G10*F10</f>
        <v>26520</v>
      </c>
      <c r="J10" s="15"/>
      <c r="L10" s="96"/>
      <c r="M10" s="95"/>
    </row>
    <row r="11" spans="1:13" s="1" customFormat="1">
      <c r="A11" s="116" t="s">
        <v>20</v>
      </c>
      <c r="B11" s="115" t="s">
        <v>19</v>
      </c>
      <c r="C11" s="114" t="s">
        <v>18</v>
      </c>
      <c r="D11" s="107" t="s">
        <v>17</v>
      </c>
      <c r="E11" s="107" t="s">
        <v>17</v>
      </c>
      <c r="F11" s="113">
        <v>727</v>
      </c>
      <c r="G11" s="112">
        <v>85</v>
      </c>
      <c r="H11" s="111"/>
      <c r="I11" s="103">
        <f>G11*F11</f>
        <v>61795</v>
      </c>
      <c r="J11" s="15"/>
      <c r="L11" s="96"/>
      <c r="M11" s="95"/>
    </row>
    <row r="12" spans="1:13" s="1" customFormat="1">
      <c r="A12" s="116"/>
      <c r="B12" s="115"/>
      <c r="C12" s="114"/>
      <c r="D12" s="107"/>
      <c r="E12" s="107"/>
      <c r="F12" s="113"/>
      <c r="G12" s="112"/>
      <c r="H12" s="111"/>
      <c r="I12" s="103"/>
      <c r="J12" s="15"/>
      <c r="L12" s="96"/>
      <c r="M12" s="95"/>
    </row>
    <row r="13" spans="1:13" s="1" customFormat="1" ht="15.75" thickBot="1">
      <c r="A13" s="110"/>
      <c r="B13" s="109"/>
      <c r="C13" s="108"/>
      <c r="D13" s="107"/>
      <c r="E13" s="107"/>
      <c r="F13" s="106"/>
      <c r="G13" s="105"/>
      <c r="H13" s="104"/>
      <c r="I13" s="103"/>
      <c r="J13" s="15"/>
      <c r="L13" s="96"/>
      <c r="M13" s="95"/>
    </row>
    <row r="14" spans="1:13" s="1" customFormat="1">
      <c r="A14" s="102" t="s">
        <v>5</v>
      </c>
      <c r="B14" s="79"/>
      <c r="C14" s="101"/>
      <c r="D14" s="101"/>
      <c r="E14" s="101"/>
      <c r="F14" s="100">
        <f>SUM(F4:F13)</f>
        <v>2012</v>
      </c>
      <c r="G14" s="99">
        <f>I14/F14</f>
        <v>407.00795228628232</v>
      </c>
      <c r="H14" s="98">
        <v>0</v>
      </c>
      <c r="I14" s="97">
        <f>SUM(I4:I11)</f>
        <v>818900</v>
      </c>
      <c r="J14" s="15"/>
      <c r="L14" s="96"/>
      <c r="M14" s="95"/>
    </row>
    <row r="15" spans="1:13" s="1" customFormat="1">
      <c r="A15" s="94"/>
      <c r="B15" s="93"/>
      <c r="C15" s="93"/>
      <c r="D15" s="93"/>
      <c r="E15" s="92"/>
      <c r="F15" s="91"/>
      <c r="G15" s="90"/>
      <c r="H15" s="76"/>
      <c r="I15" s="75"/>
      <c r="J15" s="15"/>
    </row>
    <row r="16" spans="1:13" s="1" customFormat="1">
      <c r="A16" s="89" t="s">
        <v>16</v>
      </c>
      <c r="B16" s="88"/>
      <c r="C16" s="88"/>
      <c r="D16" s="88"/>
      <c r="E16" s="87"/>
      <c r="F16" s="86" t="s">
        <v>15</v>
      </c>
      <c r="G16" s="85" t="s">
        <v>14</v>
      </c>
      <c r="H16" s="76"/>
      <c r="I16" s="75"/>
      <c r="J16" s="15"/>
    </row>
    <row r="17" spans="1:15" s="1" customFormat="1">
      <c r="A17" s="84"/>
      <c r="B17" s="83"/>
      <c r="C17" s="83"/>
      <c r="D17" s="83"/>
      <c r="E17" s="82"/>
      <c r="F17" s="78"/>
      <c r="G17" s="77"/>
      <c r="H17" s="76"/>
      <c r="I17" s="75"/>
      <c r="J17" s="15"/>
    </row>
    <row r="18" spans="1:15" s="1" customFormat="1">
      <c r="A18" s="84"/>
      <c r="B18" s="83"/>
      <c r="C18" s="83"/>
      <c r="D18" s="83"/>
      <c r="E18" s="82" t="s">
        <v>13</v>
      </c>
      <c r="F18" s="78"/>
      <c r="G18" s="77"/>
      <c r="H18" s="76"/>
      <c r="I18" s="75">
        <f>G18*F18</f>
        <v>0</v>
      </c>
      <c r="J18" s="15"/>
    </row>
    <row r="19" spans="1:15" s="1" customFormat="1">
      <c r="A19" s="84"/>
      <c r="B19" s="83"/>
      <c r="C19" s="83"/>
      <c r="D19" s="83"/>
      <c r="E19" s="82" t="s">
        <v>12</v>
      </c>
      <c r="F19" s="78"/>
      <c r="G19" s="77"/>
      <c r="H19" s="76"/>
      <c r="I19" s="75">
        <f>G19*F19</f>
        <v>0</v>
      </c>
      <c r="J19" s="15"/>
    </row>
    <row r="20" spans="1:15" s="1" customFormat="1">
      <c r="A20" s="81"/>
      <c r="B20" s="80"/>
      <c r="C20" s="80"/>
      <c r="D20" s="80"/>
      <c r="E20" s="79"/>
      <c r="F20" s="78"/>
      <c r="G20" s="77"/>
      <c r="H20" s="76"/>
      <c r="I20" s="75">
        <f>G20*F20</f>
        <v>0</v>
      </c>
      <c r="J20" s="15"/>
    </row>
    <row r="21" spans="1:15" customFormat="1" ht="15.75" thickBot="1">
      <c r="A21" s="74" t="s">
        <v>5</v>
      </c>
      <c r="B21" s="73"/>
      <c r="C21" s="73"/>
      <c r="D21" s="73"/>
      <c r="E21" s="72"/>
      <c r="F21" s="71">
        <f>SUM(F17:F20)</f>
        <v>0</v>
      </c>
      <c r="G21" s="70"/>
      <c r="H21" s="69"/>
      <c r="I21" s="68">
        <f>SUM(I17:I20)</f>
        <v>0</v>
      </c>
      <c r="J21" s="15"/>
      <c r="K21" s="1"/>
      <c r="L21" s="1"/>
      <c r="M21" s="1"/>
      <c r="N21" s="1"/>
      <c r="O21" s="1"/>
    </row>
    <row r="22" spans="1:15" customFormat="1" ht="18.75" customHeight="1" thickBot="1">
      <c r="A22" s="67" t="s">
        <v>11</v>
      </c>
      <c r="B22" s="66"/>
      <c r="C22" s="66"/>
      <c r="D22" s="66"/>
      <c r="E22" s="65"/>
      <c r="F22" s="64"/>
      <c r="G22" s="63"/>
      <c r="H22" s="58"/>
      <c r="I22" s="56">
        <f>+I21+I14</f>
        <v>818900</v>
      </c>
      <c r="J22" s="15"/>
      <c r="K22" s="1"/>
      <c r="L22" s="29"/>
      <c r="M22" s="1"/>
      <c r="N22" s="1"/>
      <c r="O22" s="1"/>
    </row>
    <row r="23" spans="1:15" customFormat="1" ht="18.75" customHeight="1" thickBot="1">
      <c r="A23" s="62" t="s">
        <v>10</v>
      </c>
      <c r="B23" s="61"/>
      <c r="C23" s="61"/>
      <c r="D23" s="61"/>
      <c r="E23" s="60"/>
      <c r="F23" s="59"/>
      <c r="G23" s="58"/>
      <c r="H23" s="57"/>
      <c r="I23" s="56">
        <f>+I22*12</f>
        <v>9826800</v>
      </c>
      <c r="J23" s="15"/>
      <c r="K23" s="1"/>
      <c r="L23" s="1"/>
      <c r="M23" s="1"/>
      <c r="N23" s="1"/>
      <c r="O23" s="1"/>
    </row>
    <row r="24" spans="1:15" customFormat="1" ht="18.75" customHeight="1">
      <c r="A24" s="55" t="s">
        <v>9</v>
      </c>
      <c r="B24" s="54"/>
      <c r="C24" s="54"/>
      <c r="D24" s="54"/>
      <c r="E24" s="53" t="s">
        <v>8</v>
      </c>
      <c r="F24" s="53" t="s">
        <v>7</v>
      </c>
      <c r="G24" s="52" t="s">
        <v>6</v>
      </c>
      <c r="H24" s="51"/>
      <c r="I24" s="50"/>
      <c r="J24" s="15"/>
      <c r="K24" s="1"/>
      <c r="L24" s="1"/>
      <c r="M24" s="1"/>
      <c r="N24" s="1"/>
      <c r="O24" s="1"/>
    </row>
    <row r="25" spans="1:15" customFormat="1" ht="15.75" thickBot="1">
      <c r="A25" s="49" t="s">
        <v>5</v>
      </c>
      <c r="B25" s="48"/>
      <c r="C25" s="48"/>
      <c r="D25" s="48"/>
      <c r="E25" s="47">
        <f>1055063/12</f>
        <v>87921.916666666672</v>
      </c>
      <c r="F25" s="47">
        <f>E25*12</f>
        <v>1055063</v>
      </c>
      <c r="G25" s="46">
        <f>E25/F14</f>
        <v>43.698765738899937</v>
      </c>
      <c r="H25" s="45">
        <f>F25/I23</f>
        <v>0.1073658769894574</v>
      </c>
      <c r="I25" s="44"/>
      <c r="J25" s="15"/>
      <c r="K25" s="1"/>
      <c r="L25" s="29"/>
      <c r="M25" s="1"/>
      <c r="N25" s="1"/>
      <c r="O25" s="29"/>
    </row>
    <row r="26" spans="1:15" customFormat="1" ht="18.75" customHeight="1">
      <c r="A26" s="43" t="s">
        <v>4</v>
      </c>
      <c r="B26" s="42"/>
      <c r="C26" s="42"/>
      <c r="D26" s="42"/>
      <c r="E26" s="41"/>
      <c r="F26" s="40"/>
      <c r="G26" s="39"/>
      <c r="H26" s="38">
        <v>2.5000000000000001E-2</v>
      </c>
      <c r="I26" s="37">
        <f>+I23*-H26</f>
        <v>-245670</v>
      </c>
      <c r="J26" s="15"/>
      <c r="K26" s="1"/>
      <c r="L26" s="1"/>
      <c r="M26" s="1"/>
      <c r="N26" s="1"/>
      <c r="O26" s="29"/>
    </row>
    <row r="27" spans="1:15" customFormat="1" ht="18.75" customHeight="1">
      <c r="A27" s="36" t="s">
        <v>3</v>
      </c>
      <c r="B27" s="35"/>
      <c r="C27" s="35"/>
      <c r="D27" s="35"/>
      <c r="E27" s="34"/>
      <c r="F27" s="33"/>
      <c r="G27" s="32"/>
      <c r="H27" s="31"/>
      <c r="I27" s="30">
        <f>+I28/12</f>
        <v>710505.58333333337</v>
      </c>
      <c r="J27" s="15"/>
      <c r="K27" s="1"/>
      <c r="L27" s="1"/>
      <c r="M27" s="1"/>
      <c r="N27" s="1"/>
      <c r="O27" s="29"/>
    </row>
    <row r="28" spans="1:15" customFormat="1" ht="18.75" customHeight="1">
      <c r="A28" s="27" t="s">
        <v>2</v>
      </c>
      <c r="B28" s="26"/>
      <c r="C28" s="26"/>
      <c r="D28" s="26"/>
      <c r="E28" s="25"/>
      <c r="F28" s="25"/>
      <c r="G28" s="28"/>
      <c r="H28" s="23"/>
      <c r="I28" s="22">
        <f>+I23-F25+I26</f>
        <v>8526067</v>
      </c>
      <c r="J28" s="15"/>
      <c r="K28" s="1"/>
      <c r="L28" s="1"/>
      <c r="M28" s="1"/>
      <c r="N28" s="1"/>
      <c r="O28" s="1"/>
    </row>
    <row r="29" spans="1:15" customFormat="1" ht="18.75" customHeight="1">
      <c r="A29" s="27" t="s">
        <v>1</v>
      </c>
      <c r="B29" s="26"/>
      <c r="C29" s="26"/>
      <c r="D29" s="26"/>
      <c r="E29" s="25"/>
      <c r="F29" s="25"/>
      <c r="G29" s="24"/>
      <c r="H29" s="23">
        <v>0.12</v>
      </c>
      <c r="I29" s="22">
        <f>+I28/H29</f>
        <v>71050558.333333343</v>
      </c>
      <c r="J29" s="15"/>
      <c r="K29" s="1"/>
      <c r="L29" s="1"/>
      <c r="M29" s="1"/>
      <c r="N29" s="1"/>
      <c r="O29" s="1"/>
    </row>
    <row r="30" spans="1:15" customFormat="1" ht="18.75" customHeight="1" thickBot="1">
      <c r="A30" s="21" t="s">
        <v>0</v>
      </c>
      <c r="B30" s="19"/>
      <c r="C30" s="19"/>
      <c r="D30" s="19"/>
      <c r="E30" s="20"/>
      <c r="F30" s="19"/>
      <c r="G30" s="18"/>
      <c r="H30" s="17"/>
      <c r="I30" s="16">
        <f>ROUND(I29,-4)</f>
        <v>71050000</v>
      </c>
      <c r="J30" s="15"/>
      <c r="K30" s="1"/>
      <c r="L30" s="1"/>
      <c r="M30" s="1"/>
      <c r="N30" s="1"/>
      <c r="O30" s="1"/>
    </row>
    <row r="31" spans="1:15" customFormat="1">
      <c r="A31" s="11"/>
      <c r="B31" s="14"/>
      <c r="C31" s="14"/>
      <c r="D31" s="14"/>
      <c r="E31" s="14"/>
      <c r="F31" s="14"/>
      <c r="G31" s="13"/>
      <c r="H31" s="13"/>
      <c r="I31" s="12"/>
      <c r="J31" s="1"/>
      <c r="K31" s="1"/>
      <c r="L31" s="1"/>
      <c r="M31" s="1"/>
      <c r="N31" s="1"/>
      <c r="O31" s="1"/>
    </row>
    <row r="32" spans="1:15" customFormat="1">
      <c r="A32" s="11"/>
      <c r="B32" s="14"/>
      <c r="C32" s="14"/>
      <c r="D32" s="14"/>
      <c r="E32" s="14"/>
      <c r="F32" s="14"/>
      <c r="G32" s="13"/>
      <c r="H32" s="13"/>
      <c r="I32" s="12"/>
      <c r="J32" s="1"/>
      <c r="K32" s="1"/>
      <c r="L32" s="1"/>
      <c r="M32" s="1"/>
      <c r="N32" s="1"/>
      <c r="O32" s="1"/>
    </row>
    <row r="33" spans="1:15" customFormat="1">
      <c r="A33" s="11"/>
      <c r="B33" s="10"/>
      <c r="C33" s="10"/>
      <c r="D33" s="10"/>
      <c r="E33" s="9"/>
      <c r="F33" s="9"/>
      <c r="G33" s="4"/>
      <c r="H33" s="4"/>
      <c r="I33" s="8"/>
      <c r="J33" s="1"/>
      <c r="K33" s="1"/>
      <c r="L33" s="1"/>
      <c r="M33" s="1"/>
      <c r="N33" s="1"/>
      <c r="O33" s="1"/>
    </row>
    <row r="34" spans="1:15" customFormat="1">
      <c r="A34" s="2"/>
      <c r="B34" s="6"/>
      <c r="C34" s="6"/>
      <c r="D34" s="6"/>
      <c r="E34" s="1"/>
      <c r="F34" s="3"/>
      <c r="G34" s="4"/>
      <c r="H34" s="4"/>
      <c r="I34" s="8"/>
      <c r="J34" s="1"/>
      <c r="K34" s="1"/>
      <c r="L34" s="1"/>
      <c r="M34" s="1"/>
      <c r="N34" s="1"/>
      <c r="O34" s="1"/>
    </row>
    <row r="35" spans="1:15" customFormat="1">
      <c r="A35" s="2"/>
      <c r="B35" s="6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6"/>
      <c r="C36" s="6"/>
      <c r="D36" s="6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s="1" customFormat="1">
      <c r="A37" s="2"/>
      <c r="B37" s="7"/>
      <c r="C37" s="6"/>
      <c r="D37" s="6"/>
      <c r="F37" s="3"/>
      <c r="G37" s="4"/>
      <c r="H37" s="4"/>
    </row>
    <row r="38" spans="1:15" s="1" customFormat="1">
      <c r="A38" s="2"/>
      <c r="B38" s="6"/>
      <c r="C38" s="6"/>
      <c r="D38" s="6"/>
      <c r="F38" s="3"/>
      <c r="G38" s="4"/>
      <c r="H38" s="4"/>
    </row>
    <row r="39" spans="1:15" s="1" customFormat="1">
      <c r="A39" s="2"/>
      <c r="B39" s="5"/>
      <c r="C39" s="5"/>
      <c r="D39" s="5"/>
      <c r="F39" s="3"/>
      <c r="G39" s="4"/>
      <c r="H39" s="4"/>
    </row>
    <row r="40" spans="1:15" s="1" customFormat="1">
      <c r="A40" s="2"/>
      <c r="B40" s="5"/>
      <c r="C40" s="5"/>
      <c r="D40" s="5"/>
      <c r="F40" s="3"/>
      <c r="G40" s="4"/>
      <c r="H40" s="4"/>
    </row>
    <row r="41" spans="1:15" s="1" customFormat="1">
      <c r="A41" s="2"/>
      <c r="B41" s="5"/>
      <c r="C41" s="5"/>
      <c r="D41" s="5"/>
      <c r="F41" s="3"/>
      <c r="G41" s="4"/>
      <c r="H41" s="4"/>
    </row>
    <row r="42" spans="1:15" s="1" customFormat="1">
      <c r="A42" s="2"/>
      <c r="B42" s="5"/>
      <c r="C42" s="5"/>
      <c r="D42" s="5"/>
      <c r="F42" s="3"/>
      <c r="G42" s="4"/>
      <c r="H42" s="4"/>
    </row>
    <row r="43" spans="1:15" s="1" customFormat="1">
      <c r="A43" s="2"/>
      <c r="B43" s="5"/>
      <c r="C43" s="5"/>
      <c r="D43" s="5"/>
      <c r="F43" s="3"/>
      <c r="G43" s="4"/>
      <c r="H43" s="4"/>
    </row>
    <row r="44" spans="1:15" s="1" customFormat="1">
      <c r="A44" s="2"/>
      <c r="B44" s="5"/>
      <c r="C44" s="5"/>
      <c r="D44" s="5"/>
      <c r="F44" s="3"/>
      <c r="G44" s="4"/>
      <c r="H44" s="4"/>
    </row>
    <row r="45" spans="1:15" s="1" customFormat="1">
      <c r="A45" s="2"/>
      <c r="B45" s="5"/>
      <c r="C45" s="5"/>
      <c r="D45" s="5"/>
      <c r="F45" s="3"/>
      <c r="G45" s="4"/>
      <c r="H45" s="4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8" s="1" customFormat="1">
      <c r="F97" s="3"/>
      <c r="G97" s="4"/>
      <c r="H97" s="4"/>
    </row>
    <row r="98" spans="6:8" s="1" customFormat="1">
      <c r="F98" s="3"/>
      <c r="G98" s="4"/>
      <c r="H98" s="4"/>
    </row>
    <row r="99" spans="6:8" s="1" customFormat="1">
      <c r="F99" s="3"/>
      <c r="G99" s="4"/>
      <c r="H99" s="4"/>
    </row>
    <row r="100" spans="6:8" s="1" customFormat="1">
      <c r="F100" s="3"/>
    </row>
    <row r="101" spans="6:8" s="1" customFormat="1">
      <c r="F101" s="3"/>
    </row>
    <row r="102" spans="6:8" s="1" customFormat="1">
      <c r="F102" s="3"/>
    </row>
    <row r="103" spans="6:8" s="1" customFormat="1">
      <c r="F103" s="3"/>
    </row>
    <row r="104" spans="6:8" s="1" customFormat="1">
      <c r="F104" s="3"/>
    </row>
    <row r="105" spans="6:8" s="1" customFormat="1">
      <c r="F105" s="3"/>
    </row>
    <row r="106" spans="6:8" s="1" customFormat="1">
      <c r="F106" s="3"/>
    </row>
    <row r="107" spans="6:8" s="1" customFormat="1">
      <c r="F107" s="3"/>
    </row>
    <row r="108" spans="6:8" s="1" customFormat="1">
      <c r="F108" s="3"/>
    </row>
    <row r="109" spans="6:8" s="1" customFormat="1">
      <c r="F109" s="3"/>
    </row>
    <row r="110" spans="6:8" s="1" customFormat="1">
      <c r="F110" s="3"/>
    </row>
    <row r="111" spans="6:8" s="1" customFormat="1">
      <c r="F111" s="3"/>
    </row>
    <row r="112" spans="6:8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  <row r="182" spans="6:6" s="1" customFormat="1">
      <c r="F182" s="3"/>
    </row>
    <row r="183" spans="6:6" s="1" customFormat="1">
      <c r="F183" s="3"/>
    </row>
    <row r="184" spans="6:6" s="1" customFormat="1">
      <c r="F184" s="3"/>
    </row>
  </sheetData>
  <pageMargins left="0.70866141732283472" right="0.70866141732283472" top="0.74803149606299213" bottom="0.74803149606299213" header="0.31496062992125984" footer="0.31496062992125984"/>
  <pageSetup scale="81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2011-08-24T12:03:32Z</dcterms:created>
  <dcterms:modified xsi:type="dcterms:W3CDTF">2011-08-24T12:03:43Z</dcterms:modified>
</cp:coreProperties>
</file>