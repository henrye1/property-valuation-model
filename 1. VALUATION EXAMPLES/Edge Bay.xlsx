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5" i="1"/>
  <c r="I6" i="1"/>
  <c r="I14" i="1" s="1"/>
  <c r="G14" i="1" s="1"/>
  <c r="F14" i="1"/>
  <c r="I18" i="1"/>
  <c r="I21" i="1" s="1"/>
  <c r="I22" i="1" s="1"/>
  <c r="I23" i="1" s="1"/>
  <c r="F21" i="1"/>
  <c r="E25" i="1"/>
  <c r="F25" i="1" s="1"/>
  <c r="H25" i="1" s="1"/>
  <c r="E39" i="1"/>
  <c r="I26" i="1" l="1"/>
  <c r="I28" i="1" s="1"/>
  <c r="G25" i="1"/>
  <c r="I27" i="1" l="1"/>
  <c r="E38" i="1" s="1"/>
  <c r="E42" i="1" s="1"/>
  <c r="I29" i="1"/>
  <c r="I31" i="1" l="1"/>
  <c r="I30" i="1"/>
  <c r="B34" i="1" l="1"/>
  <c r="B36" i="1" s="1"/>
  <c r="E36" i="1"/>
  <c r="E35" i="1" s="1"/>
  <c r="B35" i="1" s="1"/>
</calcChain>
</file>

<file path=xl/sharedStrings.xml><?xml version="1.0" encoding="utf-8"?>
<sst xmlns="http://schemas.openxmlformats.org/spreadsheetml/2006/main" count="54" uniqueCount="46">
  <si>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</si>
  <si>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</si>
  <si>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</si>
  <si>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</si>
  <si>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</si>
  <si>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</si>
  <si>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</si>
  <si>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</si>
  <si>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</si>
  <si>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</si>
  <si>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</si>
  <si>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</si>
  <si>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</si>
  <si>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</si>
  <si>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</si>
  <si>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</si>
  <si>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</si>
  <si>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</si>
  <si>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</si>
  <si>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</si>
  <si>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</si>
  <si>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</si>
  <si>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</si>
  <si>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</si>
  <si>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</si>
  <si>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</si>
  <si>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</si>
  <si>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</si>
  <si>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</si>
  <si>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</si>
  <si>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Offices</t>
  </si>
  <si>
    <t>vacant</t>
  </si>
  <si>
    <t>Rakoma</t>
  </si>
  <si>
    <t>IEC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</si>
  <si>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</si>
  <si>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</si>
  <si>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</si>
  <si>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</si>
  <si>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</si>
  <si>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</si>
  <si>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</si>
  <si>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</si>
  <si>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</si>
  <si>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</si>
  <si>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Edge Bay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</si>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</sst>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60" t="s">
        <v>45</v>
      </c>
      <c r="B1" s="159" t="s">
        <v>44</v>
      </c>
      <c r="C1" s="159"/>
      <c r="D1" s="159"/>
      <c r="E1" s="157"/>
      <c r="F1" s="157"/>
      <c r="G1" s="158"/>
      <c r="H1" s="157"/>
      <c r="I1" s="156"/>
      <c r="J1" s="52"/>
    </row>
    <row r="2" spans="1:10" ht="20.25" customHeight="1" thickBot="1" x14ac:dyDescent="0.3">
      <c r="A2" s="155" t="s">
        <v>43</v>
      </c>
      <c r="B2" s="153"/>
      <c r="C2" s="153"/>
      <c r="D2" s="153"/>
      <c r="E2" s="154">
        <f ca="1">TODAY()</f>
        <v>40779</v>
      </c>
      <c r="F2" s="153"/>
      <c r="G2" s="153"/>
      <c r="H2" s="153"/>
      <c r="I2" s="152"/>
      <c r="J2" s="52"/>
    </row>
    <row r="3" spans="1:10" ht="63.75" customHeight="1" thickBot="1" x14ac:dyDescent="0.3">
      <c r="A3" s="151" t="s">
        <v>42</v>
      </c>
      <c r="B3" s="150" t="s">
        <v>41</v>
      </c>
      <c r="C3" s="150" t="s">
        <v>40</v>
      </c>
      <c r="D3" s="150" t="s">
        <v>39</v>
      </c>
      <c r="E3" s="150" t="s">
        <v>38</v>
      </c>
      <c r="F3" s="149" t="s">
        <v>37</v>
      </c>
      <c r="G3" s="148" t="s">
        <v>36</v>
      </c>
      <c r="H3" s="147" t="s">
        <v>35</v>
      </c>
      <c r="I3" s="146" t="s">
        <v>34</v>
      </c>
      <c r="J3" s="52"/>
    </row>
    <row r="4" spans="1:10" x14ac:dyDescent="0.25">
      <c r="A4" s="144" t="s">
        <v>33</v>
      </c>
      <c r="B4" s="145" t="s">
        <v>30</v>
      </c>
      <c r="C4" s="140"/>
      <c r="D4" s="140"/>
      <c r="E4" s="140"/>
      <c r="F4" s="143">
        <v>780</v>
      </c>
      <c r="G4" s="133">
        <v>66</v>
      </c>
      <c r="H4" s="142"/>
      <c r="I4" s="113">
        <f>G4*F4</f>
        <v>51480</v>
      </c>
      <c r="J4" s="52"/>
    </row>
    <row r="5" spans="1:10" x14ac:dyDescent="0.25">
      <c r="A5" s="144" t="s">
        <v>32</v>
      </c>
      <c r="B5" s="145" t="s">
        <v>30</v>
      </c>
      <c r="C5" s="140"/>
      <c r="D5" s="140"/>
      <c r="E5" s="140"/>
      <c r="F5" s="143">
        <v>390</v>
      </c>
      <c r="G5" s="133">
        <v>77</v>
      </c>
      <c r="H5" s="142"/>
      <c r="I5" s="113">
        <f>G5*F5</f>
        <v>30030</v>
      </c>
      <c r="J5" s="52"/>
    </row>
    <row r="6" spans="1:10" x14ac:dyDescent="0.25">
      <c r="A6" s="144" t="s">
        <v>31</v>
      </c>
      <c r="B6" s="145" t="s">
        <v>30</v>
      </c>
      <c r="C6" s="140"/>
      <c r="D6" s="140"/>
      <c r="E6" s="140"/>
      <c r="F6" s="143">
        <v>390</v>
      </c>
      <c r="G6" s="133">
        <v>77</v>
      </c>
      <c r="H6" s="142"/>
      <c r="I6" s="113">
        <f>G6*F6</f>
        <v>30030</v>
      </c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1560</v>
      </c>
      <c r="G14" s="133">
        <f>I14/F14-H14</f>
        <v>71.5</v>
      </c>
      <c r="H14" s="132">
        <v>0</v>
      </c>
      <c r="I14" s="132">
        <f>SUM(I4:I13)</f>
        <v>111540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0</v>
      </c>
      <c r="G18" s="115">
        <v>0</v>
      </c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111540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1338480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f>158089/12</f>
        <v>13174.083333333334</v>
      </c>
      <c r="F25" s="85">
        <f>E25*12</f>
        <v>158089</v>
      </c>
      <c r="G25" s="84">
        <f>E25/F14</f>
        <v>8.444925213675214</v>
      </c>
      <c r="H25" s="83">
        <f>F25/I23</f>
        <v>0.11811084214930369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0.02</v>
      </c>
      <c r="I26" s="75">
        <f>+I23*-H26</f>
        <v>-26769.600000000002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96135.116666666654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1153621.3999999999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0.12</v>
      </c>
      <c r="I29" s="65">
        <f>+I28/H29</f>
        <v>9613511.666666666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9610000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6730000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0.14568158168574402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0.85431841831425603</v>
      </c>
      <c r="C35" s="44"/>
      <c r="D35" s="43"/>
      <c r="E35" s="42">
        <f>E36 - E34</f>
        <v>8210000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9610000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96135.116666666654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76451.754509609411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2011-08-24T11:57:12Z</dcterms:created>
  <dcterms:modified xsi:type="dcterms:W3CDTF">2011-08-24T11:57:22Z</dcterms:modified>
</cp:coreProperties>
</file>