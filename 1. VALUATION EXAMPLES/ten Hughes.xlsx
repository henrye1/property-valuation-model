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870" windowWidth="17355" windowHeight="768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6"/>
  <c r="I7"/>
  <c r="I8"/>
  <c r="I9"/>
  <c r="I10"/>
  <c r="F14"/>
  <c r="G14"/>
  <c r="I14"/>
  <c r="I18"/>
  <c r="F21"/>
  <c r="I21"/>
  <c r="I22" s="1"/>
  <c r="I23" s="1"/>
  <c r="E25"/>
  <c r="G25" s="1"/>
  <c r="F25"/>
  <c r="H25" s="1"/>
  <c r="I26" l="1"/>
  <c r="I28"/>
  <c r="I27" l="1"/>
  <c r="I29"/>
  <c r="I30" s="1"/>
  <c r="I31" s="1"/>
</calcChain>
</file>

<file path=xl/sharedStrings.xml><?xml version="1.0" encoding="utf-8"?>
<sst xmlns="http://schemas.openxmlformats.org/spreadsheetml/2006/main" count="62" uniqueCount="35">
  <si>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</si>
  <si>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</si>
  <si>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</si>
  <si>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</si>
  <si>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</si>
  <si>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</si>
  <si>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</si>
  <si>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</si>
  <si>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</si>
  <si>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</si>
  <si>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</si>
  <si>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</si>
  <si>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</si>
  <si>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</si>
  <si>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Carports</t>
  </si>
  <si>
    <t>R/bay</t>
  </si>
  <si>
    <t>No. bays</t>
  </si>
  <si>
    <t>Parking</t>
  </si>
  <si>
    <t>N/A</t>
  </si>
  <si>
    <t>Warehouse</t>
  </si>
  <si>
    <t>Unit 3</t>
  </si>
  <si>
    <t>Offices</t>
  </si>
  <si>
    <t>Unit 2</t>
  </si>
  <si>
    <t>Unit 1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</si>
  <si>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</si>
  <si>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</si>
  <si>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</si>
  <si>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</si>
  <si>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</si>
  <si>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</si>
  <si>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</si>
  <si>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</si>
  <si>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</si>
  <si>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</si>
  <si>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Ten Hughes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</si>
</sst>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C9" sqref="C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32</v>
      </c>
      <c r="B1" s="129" t="s">
        <v>34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33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32</v>
      </c>
      <c r="B3" s="120" t="s">
        <v>31</v>
      </c>
      <c r="C3" s="120" t="s">
        <v>30</v>
      </c>
      <c r="D3" s="120" t="s">
        <v>29</v>
      </c>
      <c r="E3" s="120" t="s">
        <v>28</v>
      </c>
      <c r="F3" s="119" t="s">
        <v>27</v>
      </c>
      <c r="G3" s="118" t="s">
        <v>26</v>
      </c>
      <c r="H3" s="117" t="s">
        <v>25</v>
      </c>
      <c r="I3" s="116" t="s">
        <v>24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23</v>
      </c>
      <c r="B5" s="110" t="s">
        <v>21</v>
      </c>
      <c r="C5" s="102" t="s">
        <v>18</v>
      </c>
      <c r="D5" s="102" t="s">
        <v>18</v>
      </c>
      <c r="E5" s="109" t="s">
        <v>18</v>
      </c>
      <c r="F5" s="108">
        <v>113</v>
      </c>
      <c r="G5" s="107">
        <v>36</v>
      </c>
      <c r="H5" s="106"/>
      <c r="I5" s="98">
        <f>G5*F5</f>
        <v>4068</v>
      </c>
      <c r="J5" s="105"/>
      <c r="K5" s="1"/>
      <c r="L5" s="1"/>
      <c r="M5" s="1"/>
      <c r="N5" s="1"/>
      <c r="O5" s="1"/>
    </row>
    <row r="6" spans="1:15" customFormat="1" ht="18" customHeight="1">
      <c r="A6" s="110" t="s">
        <v>23</v>
      </c>
      <c r="B6" s="110" t="s">
        <v>19</v>
      </c>
      <c r="C6" s="102" t="s">
        <v>18</v>
      </c>
      <c r="D6" s="102" t="s">
        <v>18</v>
      </c>
      <c r="E6" s="109" t="s">
        <v>18</v>
      </c>
      <c r="F6" s="108">
        <v>343</v>
      </c>
      <c r="G6" s="107">
        <v>36</v>
      </c>
      <c r="H6" s="106"/>
      <c r="I6" s="98">
        <f>G6*F6</f>
        <v>12348</v>
      </c>
      <c r="J6" s="105"/>
      <c r="K6" s="1"/>
      <c r="L6" s="1"/>
      <c r="M6" s="1"/>
      <c r="N6" s="1"/>
      <c r="O6" s="1"/>
    </row>
    <row r="7" spans="1:15" customFormat="1" ht="18" customHeight="1">
      <c r="A7" s="110" t="s">
        <v>22</v>
      </c>
      <c r="B7" s="110" t="s">
        <v>21</v>
      </c>
      <c r="C7" s="102" t="s">
        <v>18</v>
      </c>
      <c r="D7" s="102" t="s">
        <v>18</v>
      </c>
      <c r="E7" s="109" t="s">
        <v>18</v>
      </c>
      <c r="F7" s="108">
        <v>52</v>
      </c>
      <c r="G7" s="107">
        <v>36</v>
      </c>
      <c r="H7" s="106"/>
      <c r="I7" s="98">
        <f>G7*F7</f>
        <v>1872</v>
      </c>
      <c r="J7" s="105"/>
      <c r="K7" s="1"/>
      <c r="L7" s="1"/>
      <c r="M7" s="1"/>
      <c r="N7" s="1"/>
      <c r="O7" s="1"/>
    </row>
    <row r="8" spans="1:15" customFormat="1" ht="18" customHeight="1">
      <c r="A8" s="110" t="s">
        <v>22</v>
      </c>
      <c r="B8" s="110" t="s">
        <v>19</v>
      </c>
      <c r="C8" s="102" t="s">
        <v>18</v>
      </c>
      <c r="D8" s="102" t="s">
        <v>18</v>
      </c>
      <c r="E8" s="109" t="s">
        <v>18</v>
      </c>
      <c r="F8" s="108">
        <v>404</v>
      </c>
      <c r="G8" s="107">
        <v>36</v>
      </c>
      <c r="H8" s="106"/>
      <c r="I8" s="98">
        <f>G8*F8</f>
        <v>14544</v>
      </c>
      <c r="J8" s="105"/>
      <c r="K8" s="1"/>
      <c r="L8" s="1"/>
      <c r="M8" s="1"/>
      <c r="N8" s="1"/>
      <c r="O8" s="1"/>
    </row>
    <row r="9" spans="1:15" customFormat="1" ht="18" customHeight="1">
      <c r="A9" s="110" t="s">
        <v>20</v>
      </c>
      <c r="B9" s="110" t="s">
        <v>21</v>
      </c>
      <c r="C9" s="102" t="s">
        <v>18</v>
      </c>
      <c r="D9" s="102" t="s">
        <v>18</v>
      </c>
      <c r="E9" s="109" t="s">
        <v>18</v>
      </c>
      <c r="F9" s="108">
        <v>80</v>
      </c>
      <c r="G9" s="107">
        <v>36</v>
      </c>
      <c r="H9" s="106"/>
      <c r="I9" s="98">
        <f>G9*F9</f>
        <v>2880</v>
      </c>
      <c r="J9" s="105"/>
      <c r="K9" s="1"/>
      <c r="L9" s="1"/>
      <c r="M9" s="1"/>
      <c r="N9" s="1"/>
      <c r="O9" s="1"/>
    </row>
    <row r="10" spans="1:15" customFormat="1" ht="18" customHeight="1">
      <c r="A10" s="110" t="s">
        <v>20</v>
      </c>
      <c r="B10" s="110" t="s">
        <v>19</v>
      </c>
      <c r="C10" s="102" t="s">
        <v>18</v>
      </c>
      <c r="D10" s="102" t="s">
        <v>18</v>
      </c>
      <c r="E10" s="109" t="s">
        <v>18</v>
      </c>
      <c r="F10" s="108">
        <v>377</v>
      </c>
      <c r="G10" s="107">
        <v>36</v>
      </c>
      <c r="H10" s="106"/>
      <c r="I10" s="98">
        <f>G10*F10</f>
        <v>13572</v>
      </c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1369</v>
      </c>
      <c r="G14" s="94">
        <f>I14/F14</f>
        <v>36</v>
      </c>
      <c r="H14" s="93">
        <v>0</v>
      </c>
      <c r="I14" s="92">
        <f>SUM(I5:I12)</f>
        <v>49284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/>
      <c r="G18" s="72"/>
      <c r="H18" s="71"/>
      <c r="I18" s="70">
        <f>G18*F18</f>
        <v>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/>
      <c r="G19" s="72"/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49284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591408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118310/12</f>
        <v>9859.1666666666661</v>
      </c>
      <c r="F25" s="42">
        <f>E25*12</f>
        <v>118310</v>
      </c>
      <c r="G25" s="41">
        <f>E25/F14</f>
        <v>7.2017287557828098</v>
      </c>
      <c r="H25" s="40">
        <f>F25/I23</f>
        <v>0.20004802099396693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0.03</v>
      </c>
      <c r="I26" s="32">
        <f>+I23*-H26</f>
        <v>-17742.239999999998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37946.313333333332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455355.76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0.12</v>
      </c>
      <c r="I29" s="21">
        <f>+I28/H29</f>
        <v>3794631.3333333335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3790000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3790000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2011-08-24T12:05:02Z</dcterms:created>
  <dcterms:modified xsi:type="dcterms:W3CDTF">2011-08-24T12:08:32Z</dcterms:modified>
</cp:coreProperties>
</file>