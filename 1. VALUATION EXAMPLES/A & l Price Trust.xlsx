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A &amp; l Price Trust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I12"/>
  <c r="I13"/>
  <c r="I14"/>
  <c r="I15"/>
  <c r="F17"/>
  <c r="I17"/>
  <c r="G17" s="1"/>
  <c r="I21"/>
  <c r="I22"/>
  <c r="I24" s="1"/>
  <c r="I25" s="1"/>
  <c r="I26" s="1"/>
  <c r="I23"/>
  <c r="F24"/>
  <c r="E28"/>
  <c r="F28" s="1"/>
  <c r="H28" s="1"/>
  <c r="I29" l="1"/>
  <c r="I31"/>
  <c r="G28"/>
  <c r="I30" l="1"/>
  <c r="I32"/>
  <c r="I33" s="1"/>
</calcChain>
</file>

<file path=xl/sharedStrings.xml><?xml version="1.0" encoding="utf-8"?>
<sst xmlns="http://schemas.openxmlformats.org/spreadsheetml/2006/main" count="91" uniqueCount="44">
  <si>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</si>
  <si>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</si>
  <si>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</si>
  <si>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</si>
  <si>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</si>
  <si>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</si>
  <si>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</si>
  <si>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</si>
  <si>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</si>
  <si>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</si>
  <si>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</si>
  <si>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</si>
  <si>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</si>
  <si>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</si>
  <si>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</si>
  <si>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</si>
  <si>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</si>
  <si>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</si>
  <si>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7 M</t>
  </si>
  <si>
    <t>Mini Units</t>
  </si>
  <si>
    <t>7 L</t>
  </si>
  <si>
    <t>7 K</t>
  </si>
  <si>
    <t>7 J</t>
  </si>
  <si>
    <t>Mini Units - Vacant</t>
  </si>
  <si>
    <t>7 I</t>
  </si>
  <si>
    <t>7 H</t>
  </si>
  <si>
    <t>7 G</t>
  </si>
  <si>
    <t xml:space="preserve"> 7 F</t>
  </si>
  <si>
    <t>7 E</t>
  </si>
  <si>
    <t>7 D</t>
  </si>
  <si>
    <t>7 C</t>
  </si>
  <si>
    <t>7 A -B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</si>
  <si>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</si>
  <si>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</si>
  <si>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</si>
  <si>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</si>
  <si>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</si>
  <si>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</si>
  <si>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</si>
  <si>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</si>
  <si>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</si>
  <si>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</si>
  <si>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 &amp; L Price Trust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</si>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</sst>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10"/>
      <color rgb="FFFF0000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166" fontId="8" fillId="0" borderId="34" xfId="0" applyNumberFormat="1" applyFont="1" applyBorder="1"/>
    <xf numFmtId="4" fontId="8" fillId="0" borderId="0" xfId="0" applyNumberFormat="1" applyFont="1" applyBorder="1"/>
    <xf numFmtId="4" fontId="8" fillId="0" borderId="35" xfId="0" applyNumberFormat="1" applyFont="1" applyBorder="1"/>
    <xf numFmtId="3" fontId="8" fillId="0" borderId="0" xfId="0" applyNumberFormat="1" applyFont="1" applyBorder="1" applyAlignment="1">
      <alignment horizontal="center"/>
    </xf>
    <xf numFmtId="49" fontId="8" fillId="0" borderId="35" xfId="0" applyNumberFormat="1" applyFont="1" applyBorder="1" applyAlignment="1">
      <alignment horizontal="center" wrapText="1"/>
    </xf>
    <xf numFmtId="49" fontId="8" fillId="0" borderId="35" xfId="0" applyNumberFormat="1" applyFont="1" applyBorder="1" applyAlignment="1">
      <alignment horizontal="left" wrapText="1"/>
    </xf>
    <xf numFmtId="49" fontId="8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9" fillId="0" borderId="48" xfId="0" applyNumberFormat="1" applyFont="1" applyBorder="1"/>
    <xf numFmtId="14" fontId="10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8"/>
  <sheetViews>
    <sheetView tabSelected="1" workbookViewId="0">
      <selection sqref="A1:I34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40" t="s">
        <v>43</v>
      </c>
      <c r="B1" s="139" t="s">
        <v>42</v>
      </c>
      <c r="C1" s="139"/>
      <c r="D1" s="139"/>
      <c r="E1" s="138"/>
      <c r="F1" s="138"/>
      <c r="G1" s="138"/>
      <c r="H1" s="138"/>
      <c r="I1" s="137"/>
      <c r="J1" s="16"/>
    </row>
    <row r="2" spans="1:13" s="1" customFormat="1" ht="20.25" customHeight="1" thickBot="1">
      <c r="A2" s="136" t="s">
        <v>41</v>
      </c>
      <c r="B2" s="134"/>
      <c r="C2" s="134"/>
      <c r="D2" s="134"/>
      <c r="E2" s="135">
        <v>40743</v>
      </c>
      <c r="F2" s="134"/>
      <c r="G2" s="134"/>
      <c r="H2" s="134"/>
      <c r="I2" s="133"/>
      <c r="J2" s="16"/>
    </row>
    <row r="3" spans="1:13" s="1" customFormat="1" ht="63.75" customHeight="1" thickBot="1">
      <c r="A3" s="132" t="s">
        <v>40</v>
      </c>
      <c r="B3" s="131" t="s">
        <v>39</v>
      </c>
      <c r="C3" s="131" t="s">
        <v>38</v>
      </c>
      <c r="D3" s="131" t="s">
        <v>37</v>
      </c>
      <c r="E3" s="131" t="s">
        <v>36</v>
      </c>
      <c r="F3" s="130" t="s">
        <v>35</v>
      </c>
      <c r="G3" s="129" t="s">
        <v>34</v>
      </c>
      <c r="H3" s="128" t="s">
        <v>33</v>
      </c>
      <c r="I3" s="127" t="s">
        <v>32</v>
      </c>
      <c r="J3" s="16"/>
    </row>
    <row r="4" spans="1:13" s="1" customFormat="1">
      <c r="A4" s="116" t="s">
        <v>19</v>
      </c>
      <c r="B4" s="126" t="s">
        <v>31</v>
      </c>
      <c r="C4" s="109" t="s">
        <v>17</v>
      </c>
      <c r="D4" s="109" t="s">
        <v>17</v>
      </c>
      <c r="E4" s="109" t="s">
        <v>17</v>
      </c>
      <c r="F4" s="125">
        <v>384</v>
      </c>
      <c r="G4" s="113">
        <v>27.6</v>
      </c>
      <c r="H4" s="112"/>
      <c r="I4" s="105">
        <f>G4*F4</f>
        <v>10598.400000000001</v>
      </c>
      <c r="J4" s="16"/>
      <c r="L4" s="99"/>
      <c r="M4" s="98"/>
    </row>
    <row r="5" spans="1:13" s="1" customFormat="1">
      <c r="A5" s="116" t="s">
        <v>19</v>
      </c>
      <c r="B5" s="115" t="s">
        <v>30</v>
      </c>
      <c r="C5" s="109" t="s">
        <v>17</v>
      </c>
      <c r="D5" s="109" t="s">
        <v>17</v>
      </c>
      <c r="E5" s="109" t="s">
        <v>17</v>
      </c>
      <c r="F5" s="124">
        <v>270</v>
      </c>
      <c r="G5" s="113">
        <v>24.76</v>
      </c>
      <c r="H5" s="112"/>
      <c r="I5" s="105">
        <f>G5*F5</f>
        <v>6685.2000000000007</v>
      </c>
      <c r="J5" s="16"/>
      <c r="L5" s="99"/>
      <c r="M5" s="98"/>
    </row>
    <row r="6" spans="1:13" s="1" customFormat="1">
      <c r="A6" s="116" t="s">
        <v>19</v>
      </c>
      <c r="B6" s="115" t="s">
        <v>29</v>
      </c>
      <c r="C6" s="109" t="s">
        <v>17</v>
      </c>
      <c r="D6" s="109" t="s">
        <v>17</v>
      </c>
      <c r="E6" s="109" t="s">
        <v>17</v>
      </c>
      <c r="F6" s="124">
        <v>50</v>
      </c>
      <c r="G6" s="113">
        <v>60</v>
      </c>
      <c r="H6" s="112"/>
      <c r="I6" s="105">
        <f>G6*F6</f>
        <v>3000</v>
      </c>
      <c r="J6" s="16"/>
      <c r="L6" s="99"/>
      <c r="M6" s="98"/>
    </row>
    <row r="7" spans="1:13" s="1" customFormat="1">
      <c r="A7" s="116" t="s">
        <v>19</v>
      </c>
      <c r="B7" s="115" t="s">
        <v>28</v>
      </c>
      <c r="C7" s="109" t="s">
        <v>17</v>
      </c>
      <c r="D7" s="109" t="s">
        <v>17</v>
      </c>
      <c r="E7" s="109" t="s">
        <v>17</v>
      </c>
      <c r="F7" s="124">
        <v>150</v>
      </c>
      <c r="G7" s="113">
        <v>23.33</v>
      </c>
      <c r="H7" s="112"/>
      <c r="I7" s="105">
        <f>G7*F7</f>
        <v>3499.4999999999995</v>
      </c>
      <c r="J7" s="16"/>
      <c r="L7" s="99"/>
      <c r="M7" s="98"/>
    </row>
    <row r="8" spans="1:13" s="1" customFormat="1">
      <c r="A8" s="116" t="s">
        <v>19</v>
      </c>
      <c r="B8" s="115" t="s">
        <v>27</v>
      </c>
      <c r="C8" s="109" t="s">
        <v>17</v>
      </c>
      <c r="D8" s="109" t="s">
        <v>17</v>
      </c>
      <c r="E8" s="109" t="s">
        <v>17</v>
      </c>
      <c r="F8" s="124">
        <v>67</v>
      </c>
      <c r="G8" s="113">
        <v>24.63</v>
      </c>
      <c r="H8" s="112"/>
      <c r="I8" s="105">
        <f>G8*F8</f>
        <v>1650.21</v>
      </c>
      <c r="J8" s="16"/>
      <c r="L8" s="99"/>
      <c r="M8" s="98"/>
    </row>
    <row r="9" spans="1:13" s="1" customFormat="1">
      <c r="A9" s="116" t="s">
        <v>19</v>
      </c>
      <c r="B9" s="115" t="s">
        <v>26</v>
      </c>
      <c r="C9" s="109" t="s">
        <v>17</v>
      </c>
      <c r="D9" s="109" t="s">
        <v>17</v>
      </c>
      <c r="E9" s="109" t="s">
        <v>17</v>
      </c>
      <c r="F9" s="124">
        <v>210</v>
      </c>
      <c r="G9" s="113">
        <v>18.100000000000001</v>
      </c>
      <c r="H9" s="112"/>
      <c r="I9" s="105">
        <f>G9*F9</f>
        <v>3801.0000000000005</v>
      </c>
      <c r="J9" s="16"/>
      <c r="L9" s="99"/>
      <c r="M9" s="98"/>
    </row>
    <row r="10" spans="1:13" s="1" customFormat="1">
      <c r="A10" s="116" t="s">
        <v>19</v>
      </c>
      <c r="B10" s="115" t="s">
        <v>25</v>
      </c>
      <c r="C10" s="109" t="s">
        <v>17</v>
      </c>
      <c r="D10" s="109" t="s">
        <v>17</v>
      </c>
      <c r="E10" s="109" t="s">
        <v>17</v>
      </c>
      <c r="F10" s="114">
        <v>154</v>
      </c>
      <c r="G10" s="113">
        <v>18.18</v>
      </c>
      <c r="H10" s="112"/>
      <c r="I10" s="105">
        <f>G10*F10</f>
        <v>2799.72</v>
      </c>
      <c r="J10" s="16"/>
      <c r="K10" s="2"/>
      <c r="L10" s="99"/>
      <c r="M10" s="98"/>
    </row>
    <row r="11" spans="1:13" s="1" customFormat="1">
      <c r="A11" s="116" t="s">
        <v>19</v>
      </c>
      <c r="B11" s="115" t="s">
        <v>24</v>
      </c>
      <c r="C11" s="109" t="s">
        <v>17</v>
      </c>
      <c r="D11" s="109" t="s">
        <v>17</v>
      </c>
      <c r="E11" s="109" t="s">
        <v>17</v>
      </c>
      <c r="F11" s="114">
        <v>70</v>
      </c>
      <c r="G11" s="113">
        <v>21.43</v>
      </c>
      <c r="H11" s="112"/>
      <c r="I11" s="105">
        <f>G11*F11</f>
        <v>1500.1</v>
      </c>
      <c r="J11" s="16"/>
      <c r="K11" s="2"/>
      <c r="L11" s="99"/>
      <c r="M11" s="98"/>
    </row>
    <row r="12" spans="1:13" s="1" customFormat="1">
      <c r="A12" s="123" t="s">
        <v>23</v>
      </c>
      <c r="B12" s="122" t="s">
        <v>22</v>
      </c>
      <c r="C12" s="121" t="s">
        <v>17</v>
      </c>
      <c r="D12" s="121" t="s">
        <v>17</v>
      </c>
      <c r="E12" s="121" t="s">
        <v>17</v>
      </c>
      <c r="F12" s="120">
        <v>50</v>
      </c>
      <c r="G12" s="119">
        <v>10</v>
      </c>
      <c r="H12" s="118"/>
      <c r="I12" s="117">
        <f>G12*F12</f>
        <v>500</v>
      </c>
      <c r="J12" s="16"/>
      <c r="K12" s="2"/>
      <c r="L12" s="99"/>
      <c r="M12" s="98"/>
    </row>
    <row r="13" spans="1:13" s="1" customFormat="1">
      <c r="A13" s="116" t="s">
        <v>19</v>
      </c>
      <c r="B13" s="115" t="s">
        <v>21</v>
      </c>
      <c r="C13" s="109" t="s">
        <v>17</v>
      </c>
      <c r="D13" s="109" t="s">
        <v>17</v>
      </c>
      <c r="E13" s="109" t="s">
        <v>17</v>
      </c>
      <c r="F13" s="114">
        <v>36</v>
      </c>
      <c r="G13" s="113">
        <v>41.67</v>
      </c>
      <c r="H13" s="112"/>
      <c r="I13" s="105">
        <f>G13*F13</f>
        <v>1500.1200000000001</v>
      </c>
      <c r="J13" s="16"/>
      <c r="K13" s="2"/>
      <c r="L13" s="99"/>
      <c r="M13" s="98"/>
    </row>
    <row r="14" spans="1:13" s="1" customFormat="1">
      <c r="A14" s="116" t="s">
        <v>19</v>
      </c>
      <c r="B14" s="115" t="s">
        <v>20</v>
      </c>
      <c r="C14" s="109" t="s">
        <v>17</v>
      </c>
      <c r="D14" s="109" t="s">
        <v>17</v>
      </c>
      <c r="E14" s="109" t="s">
        <v>17</v>
      </c>
      <c r="F14" s="114">
        <v>36</v>
      </c>
      <c r="G14" s="113">
        <v>41.67</v>
      </c>
      <c r="H14" s="112"/>
      <c r="I14" s="105">
        <f>G14*F14</f>
        <v>1500.1200000000001</v>
      </c>
      <c r="J14" s="16"/>
      <c r="K14" s="2"/>
      <c r="L14" s="99"/>
      <c r="M14" s="98"/>
    </row>
    <row r="15" spans="1:13" s="1" customFormat="1">
      <c r="A15" s="116" t="s">
        <v>19</v>
      </c>
      <c r="B15" s="115" t="s">
        <v>18</v>
      </c>
      <c r="C15" s="109" t="s">
        <v>17</v>
      </c>
      <c r="D15" s="109" t="s">
        <v>17</v>
      </c>
      <c r="E15" s="109" t="s">
        <v>17</v>
      </c>
      <c r="F15" s="114">
        <v>36</v>
      </c>
      <c r="G15" s="113">
        <v>41.67</v>
      </c>
      <c r="H15" s="112"/>
      <c r="I15" s="105">
        <f>G15*F15</f>
        <v>1500.1200000000001</v>
      </c>
      <c r="J15" s="16"/>
      <c r="K15" s="2"/>
      <c r="L15" s="99"/>
      <c r="M15" s="98"/>
    </row>
    <row r="16" spans="1:13" s="1" customFormat="1" ht="15.75" thickBot="1">
      <c r="A16" s="111"/>
      <c r="B16" s="110"/>
      <c r="C16" s="90"/>
      <c r="D16" s="109"/>
      <c r="E16" s="109"/>
      <c r="F16" s="108"/>
      <c r="G16" s="107"/>
      <c r="H16" s="106"/>
      <c r="I16" s="105"/>
      <c r="J16" s="16"/>
      <c r="L16" s="99"/>
      <c r="M16" s="98"/>
    </row>
    <row r="17" spans="1:15" s="1" customFormat="1">
      <c r="A17" s="104" t="s">
        <v>5</v>
      </c>
      <c r="B17" s="82"/>
      <c r="C17" s="103"/>
      <c r="D17" s="103"/>
      <c r="E17" s="103"/>
      <c r="F17" s="102">
        <f>SUM(F4:F16)</f>
        <v>1513</v>
      </c>
      <c r="G17" s="101">
        <f>I17/F17</f>
        <v>25.468929279577008</v>
      </c>
      <c r="H17" s="100">
        <v>0</v>
      </c>
      <c r="I17" s="100">
        <f>SUM(I4:I16)</f>
        <v>38534.490000000013</v>
      </c>
      <c r="J17" s="16"/>
      <c r="L17" s="99"/>
      <c r="M17" s="98"/>
    </row>
    <row r="18" spans="1:15" s="1" customFormat="1">
      <c r="A18" s="97"/>
      <c r="B18" s="96"/>
      <c r="C18" s="96"/>
      <c r="D18" s="96"/>
      <c r="E18" s="95"/>
      <c r="F18" s="94"/>
      <c r="G18" s="93"/>
      <c r="H18" s="79"/>
      <c r="I18" s="78"/>
      <c r="J18" s="16"/>
    </row>
    <row r="19" spans="1:15" s="1" customFormat="1">
      <c r="A19" s="92" t="s">
        <v>16</v>
      </c>
      <c r="B19" s="91"/>
      <c r="C19" s="91"/>
      <c r="D19" s="91"/>
      <c r="E19" s="90"/>
      <c r="F19" s="89" t="s">
        <v>15</v>
      </c>
      <c r="G19" s="88" t="s">
        <v>14</v>
      </c>
      <c r="H19" s="79"/>
      <c r="I19" s="78"/>
      <c r="J19" s="16"/>
    </row>
    <row r="20" spans="1:15" s="1" customFormat="1">
      <c r="A20" s="87"/>
      <c r="B20" s="86"/>
      <c r="C20" s="86"/>
      <c r="D20" s="86"/>
      <c r="E20" s="85"/>
      <c r="F20" s="81"/>
      <c r="G20" s="80"/>
      <c r="H20" s="79"/>
      <c r="I20" s="78"/>
      <c r="J20" s="16"/>
    </row>
    <row r="21" spans="1:15" s="1" customFormat="1">
      <c r="A21" s="87"/>
      <c r="B21" s="86"/>
      <c r="C21" s="86"/>
      <c r="D21" s="86"/>
      <c r="E21" s="85" t="s">
        <v>13</v>
      </c>
      <c r="F21" s="81"/>
      <c r="G21" s="80"/>
      <c r="H21" s="79"/>
      <c r="I21" s="78">
        <f>G21*F21</f>
        <v>0</v>
      </c>
      <c r="J21" s="16"/>
    </row>
    <row r="22" spans="1:15" s="1" customFormat="1">
      <c r="A22" s="87"/>
      <c r="B22" s="86"/>
      <c r="C22" s="86"/>
      <c r="D22" s="86"/>
      <c r="E22" s="85" t="s">
        <v>12</v>
      </c>
      <c r="F22" s="81"/>
      <c r="G22" s="80"/>
      <c r="H22" s="79"/>
      <c r="I22" s="78">
        <f>G22*F22</f>
        <v>0</v>
      </c>
      <c r="J22" s="16"/>
    </row>
    <row r="23" spans="1:15" s="1" customFormat="1">
      <c r="A23" s="84"/>
      <c r="B23" s="83"/>
      <c r="C23" s="83"/>
      <c r="D23" s="83"/>
      <c r="E23" s="82"/>
      <c r="F23" s="81"/>
      <c r="G23" s="80"/>
      <c r="H23" s="79"/>
      <c r="I23" s="78">
        <f>G23*F23</f>
        <v>0</v>
      </c>
      <c r="J23" s="16"/>
    </row>
    <row r="24" spans="1:15" s="1" customFormat="1" ht="15.75" thickBot="1">
      <c r="A24" s="77" t="s">
        <v>5</v>
      </c>
      <c r="B24" s="76"/>
      <c r="C24" s="76"/>
      <c r="D24" s="76"/>
      <c r="E24" s="75"/>
      <c r="F24" s="74">
        <f>SUM(F20:F23)</f>
        <v>0</v>
      </c>
      <c r="G24" s="73"/>
      <c r="H24" s="72"/>
      <c r="I24" s="71">
        <f>SUM(I20:I23)</f>
        <v>0</v>
      </c>
      <c r="J24" s="16"/>
    </row>
    <row r="25" spans="1:15" customFormat="1" ht="18.75" customHeight="1" thickBot="1">
      <c r="A25" s="70" t="s">
        <v>11</v>
      </c>
      <c r="B25" s="69"/>
      <c r="C25" s="69"/>
      <c r="D25" s="69"/>
      <c r="E25" s="68"/>
      <c r="F25" s="67"/>
      <c r="G25" s="66"/>
      <c r="H25" s="61"/>
      <c r="I25" s="59">
        <f>+I24+I17</f>
        <v>38534.490000000013</v>
      </c>
      <c r="J25" s="16"/>
      <c r="K25" s="1"/>
      <c r="L25" s="32"/>
      <c r="M25" s="1"/>
      <c r="N25" s="1"/>
      <c r="O25" s="1"/>
    </row>
    <row r="26" spans="1:15" customFormat="1" ht="18.75" customHeight="1" thickBot="1">
      <c r="A26" s="65" t="s">
        <v>10</v>
      </c>
      <c r="B26" s="64"/>
      <c r="C26" s="64"/>
      <c r="D26" s="64"/>
      <c r="E26" s="63"/>
      <c r="F26" s="62"/>
      <c r="G26" s="61"/>
      <c r="H26" s="60"/>
      <c r="I26" s="59">
        <f>+I25*12</f>
        <v>462413.88000000012</v>
      </c>
      <c r="J26" s="16"/>
      <c r="K26" s="1"/>
      <c r="L26" s="1"/>
      <c r="M26" s="1"/>
      <c r="N26" s="1"/>
      <c r="O26" s="1"/>
    </row>
    <row r="27" spans="1:15" customFormat="1" ht="18.75" customHeight="1">
      <c r="A27" s="58" t="s">
        <v>9</v>
      </c>
      <c r="B27" s="57"/>
      <c r="C27" s="57"/>
      <c r="D27" s="57"/>
      <c r="E27" s="56" t="s">
        <v>8</v>
      </c>
      <c r="F27" s="56" t="s">
        <v>7</v>
      </c>
      <c r="G27" s="55" t="s">
        <v>6</v>
      </c>
      <c r="H27" s="54"/>
      <c r="I27" s="53"/>
      <c r="J27" s="16"/>
      <c r="K27" s="1"/>
      <c r="L27" s="1"/>
      <c r="M27" s="1"/>
      <c r="N27" s="1"/>
      <c r="O27" s="1"/>
    </row>
    <row r="28" spans="1:15" customFormat="1" ht="15.75" thickBot="1">
      <c r="A28" s="52" t="s">
        <v>5</v>
      </c>
      <c r="B28" s="51"/>
      <c r="C28" s="51"/>
      <c r="D28" s="51"/>
      <c r="E28" s="50">
        <f>93881.25/12</f>
        <v>7823.4375</v>
      </c>
      <c r="F28" s="50">
        <f>E28*12</f>
        <v>93881.25</v>
      </c>
      <c r="G28" s="49">
        <f>E28/F17</f>
        <v>5.170811302048909</v>
      </c>
      <c r="H28" s="48">
        <f>F28/I26</f>
        <v>0.20302429070684463</v>
      </c>
      <c r="I28" s="47"/>
      <c r="J28" s="16"/>
      <c r="K28" s="1"/>
      <c r="L28" s="32"/>
      <c r="M28" s="1"/>
      <c r="N28" s="1"/>
      <c r="O28" s="32"/>
    </row>
    <row r="29" spans="1:15" customFormat="1" ht="18.75" customHeight="1">
      <c r="A29" s="46" t="s">
        <v>4</v>
      </c>
      <c r="B29" s="45"/>
      <c r="C29" s="45"/>
      <c r="D29" s="45"/>
      <c r="E29" s="44"/>
      <c r="F29" s="43"/>
      <c r="G29" s="42"/>
      <c r="H29" s="41">
        <v>0.01</v>
      </c>
      <c r="I29" s="40">
        <f>+I26*-H29</f>
        <v>-4624.1388000000015</v>
      </c>
      <c r="J29" s="16"/>
      <c r="K29" s="1"/>
      <c r="L29" s="1"/>
      <c r="M29" s="1"/>
      <c r="N29" s="1"/>
      <c r="O29" s="32"/>
    </row>
    <row r="30" spans="1:15" customFormat="1" ht="18.75" customHeight="1">
      <c r="A30" s="39" t="s">
        <v>3</v>
      </c>
      <c r="B30" s="38"/>
      <c r="C30" s="38"/>
      <c r="D30" s="38"/>
      <c r="E30" s="37"/>
      <c r="F30" s="36"/>
      <c r="G30" s="35"/>
      <c r="H30" s="34"/>
      <c r="I30" s="33">
        <f>+I31/12</f>
        <v>30325.707600000009</v>
      </c>
      <c r="J30" s="16"/>
      <c r="K30" s="1"/>
      <c r="L30" s="1"/>
      <c r="M30" s="1"/>
      <c r="N30" s="1"/>
      <c r="O30" s="32"/>
    </row>
    <row r="31" spans="1:15" customFormat="1" ht="18.75" customHeight="1">
      <c r="A31" s="28" t="s">
        <v>2</v>
      </c>
      <c r="B31" s="26"/>
      <c r="C31" s="26"/>
      <c r="D31" s="26"/>
      <c r="E31" s="27"/>
      <c r="F31" s="27"/>
      <c r="G31" s="31"/>
      <c r="H31" s="24"/>
      <c r="I31" s="29">
        <f>+I26-F28+I29</f>
        <v>363908.49120000011</v>
      </c>
      <c r="J31" s="16"/>
      <c r="K31" s="1"/>
      <c r="L31" s="1"/>
      <c r="M31" s="1"/>
      <c r="N31" s="1"/>
      <c r="O31" s="1"/>
    </row>
    <row r="32" spans="1:15" customFormat="1" ht="18.75" customHeight="1">
      <c r="A32" s="28" t="s">
        <v>1</v>
      </c>
      <c r="B32" s="26"/>
      <c r="C32" s="26"/>
      <c r="D32" s="26"/>
      <c r="E32" s="27"/>
      <c r="F32" s="27"/>
      <c r="G32" s="30"/>
      <c r="H32" s="24">
        <v>0.12</v>
      </c>
      <c r="I32" s="29">
        <f>+I31/H32</f>
        <v>3032570.7600000012</v>
      </c>
      <c r="J32" s="16"/>
      <c r="K32" s="1"/>
      <c r="L32" s="1"/>
      <c r="M32" s="1"/>
      <c r="N32" s="1"/>
      <c r="O32" s="1"/>
    </row>
    <row r="33" spans="1:15" customFormat="1" ht="18.75" customHeight="1">
      <c r="A33" s="28" t="s">
        <v>0</v>
      </c>
      <c r="B33" s="26"/>
      <c r="C33" s="26"/>
      <c r="D33" s="26"/>
      <c r="E33" s="27"/>
      <c r="F33" s="26"/>
      <c r="G33" s="25"/>
      <c r="H33" s="24"/>
      <c r="I33" s="23">
        <f>ROUND(I32,-4)</f>
        <v>3030000</v>
      </c>
      <c r="J33" s="16"/>
      <c r="K33" s="1"/>
      <c r="L33" s="1"/>
      <c r="M33" s="1"/>
      <c r="N33" s="1"/>
      <c r="O33" s="1"/>
    </row>
    <row r="34" spans="1:15" customFormat="1" ht="39" customHeight="1" thickBot="1">
      <c r="A34" s="22"/>
      <c r="B34" s="20"/>
      <c r="C34" s="20"/>
      <c r="D34" s="20"/>
      <c r="E34" s="21"/>
      <c r="F34" s="20"/>
      <c r="G34" s="19"/>
      <c r="H34" s="18"/>
      <c r="I34" s="17"/>
      <c r="J34" s="16"/>
      <c r="K34" s="1"/>
      <c r="L34" s="15"/>
      <c r="M34" s="1"/>
      <c r="N34" s="1"/>
      <c r="O34" s="1"/>
    </row>
    <row r="35" spans="1:15" customFormat="1" ht="15.75" thickTop="1">
      <c r="A35" s="11"/>
      <c r="B35" s="14"/>
      <c r="C35" s="14"/>
      <c r="D35" s="14"/>
      <c r="E35" s="14"/>
      <c r="F35" s="14"/>
      <c r="G35" s="13"/>
      <c r="H35" s="13"/>
      <c r="I35" s="12"/>
      <c r="J35" s="1"/>
      <c r="K35" s="1"/>
      <c r="L35" s="1"/>
      <c r="M35" s="1"/>
      <c r="N35" s="1"/>
      <c r="O35" s="1"/>
    </row>
    <row r="36" spans="1:15" customFormat="1">
      <c r="A36" s="11"/>
      <c r="B36" s="14"/>
      <c r="C36" s="14"/>
      <c r="D36" s="14"/>
      <c r="E36" s="14"/>
      <c r="F36" s="14"/>
      <c r="G36" s="13"/>
      <c r="H36" s="13"/>
      <c r="I36" s="12"/>
      <c r="J36" s="1"/>
      <c r="K36" s="1"/>
      <c r="L36" s="1"/>
      <c r="M36" s="1"/>
      <c r="N36" s="1"/>
      <c r="O36" s="1"/>
    </row>
    <row r="37" spans="1:15" customFormat="1">
      <c r="A37" s="11"/>
      <c r="B37" s="10"/>
      <c r="C37" s="10"/>
      <c r="D37" s="10"/>
      <c r="E37" s="9"/>
      <c r="F37" s="9"/>
      <c r="G37" s="4"/>
      <c r="H37" s="4"/>
      <c r="I37" s="8"/>
      <c r="J37" s="1"/>
      <c r="K37" s="1"/>
      <c r="L37" s="1"/>
      <c r="M37" s="1"/>
      <c r="N37" s="1"/>
      <c r="O37" s="1"/>
    </row>
    <row r="38" spans="1:15" customFormat="1">
      <c r="A38" s="2"/>
      <c r="B38" s="6"/>
      <c r="C38" s="6"/>
      <c r="D38" s="6"/>
      <c r="E38" s="1"/>
      <c r="F38" s="3"/>
      <c r="G38" s="4"/>
      <c r="H38" s="4"/>
      <c r="I38" s="8"/>
      <c r="J38" s="1"/>
      <c r="K38" s="1"/>
      <c r="L38" s="1"/>
      <c r="M38" s="1"/>
      <c r="N38" s="1"/>
      <c r="O38" s="1"/>
    </row>
    <row r="39" spans="1:15" customFormat="1">
      <c r="A39" s="2"/>
      <c r="B39" s="6"/>
      <c r="C39" s="6"/>
      <c r="D39" s="6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6"/>
      <c r="C40" s="6"/>
      <c r="D40" s="6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s="1" customFormat="1">
      <c r="A41" s="2"/>
      <c r="B41" s="7"/>
      <c r="C41" s="6"/>
      <c r="D41" s="6"/>
      <c r="F41" s="3"/>
      <c r="G41" s="4"/>
      <c r="H41" s="4"/>
    </row>
    <row r="42" spans="1:15" s="1" customFormat="1">
      <c r="A42" s="2"/>
      <c r="B42" s="6"/>
      <c r="C42" s="6"/>
      <c r="D42" s="6"/>
      <c r="F42" s="3"/>
      <c r="G42" s="4"/>
      <c r="H42" s="4"/>
    </row>
    <row r="43" spans="1:15" s="1" customFormat="1">
      <c r="A43" s="2"/>
      <c r="B43" s="5"/>
      <c r="C43" s="5"/>
      <c r="D43" s="5"/>
      <c r="F43" s="3"/>
      <c r="G43" s="4"/>
      <c r="H43" s="4"/>
    </row>
    <row r="44" spans="1:15" s="1" customFormat="1">
      <c r="A44" s="2"/>
      <c r="B44" s="5"/>
      <c r="C44" s="5"/>
      <c r="D44" s="5"/>
      <c r="F44" s="3"/>
      <c r="G44" s="4"/>
      <c r="H44" s="4"/>
    </row>
    <row r="45" spans="1:15" s="1" customFormat="1">
      <c r="A45" s="2"/>
      <c r="B45" s="5"/>
      <c r="C45" s="5"/>
      <c r="D45" s="5"/>
      <c r="F45" s="3"/>
      <c r="G45" s="4"/>
      <c r="H45" s="4"/>
    </row>
    <row r="46" spans="1:15" s="1" customFormat="1">
      <c r="A46" s="2"/>
      <c r="B46" s="5"/>
      <c r="C46" s="5"/>
      <c r="D46" s="5"/>
      <c r="F46" s="3"/>
      <c r="G46" s="4"/>
      <c r="H46" s="4"/>
    </row>
    <row r="47" spans="1:15" s="1" customFormat="1">
      <c r="A47" s="2"/>
      <c r="B47" s="5"/>
      <c r="C47" s="5"/>
      <c r="D47" s="5"/>
      <c r="F47" s="3"/>
      <c r="G47" s="4"/>
      <c r="H47" s="4"/>
    </row>
    <row r="48" spans="1:15" s="1" customFormat="1">
      <c r="A48" s="2"/>
      <c r="B48" s="5"/>
      <c r="C48" s="5"/>
      <c r="D48" s="5"/>
      <c r="F48" s="3"/>
      <c r="G48" s="4"/>
      <c r="H48" s="4"/>
    </row>
    <row r="49" spans="2:8" s="1" customFormat="1">
      <c r="B49" s="5"/>
      <c r="C49" s="5"/>
      <c r="D49" s="5"/>
      <c r="F49" s="3"/>
      <c r="G49" s="4"/>
      <c r="H49" s="4"/>
    </row>
    <row r="50" spans="2:8" s="1" customFormat="1">
      <c r="F50" s="3"/>
      <c r="G50" s="4"/>
      <c r="H50" s="4"/>
    </row>
    <row r="51" spans="2:8" s="1" customFormat="1">
      <c r="F51" s="3"/>
      <c r="G51" s="4"/>
      <c r="H51" s="4"/>
    </row>
    <row r="52" spans="2:8" s="1" customFormat="1">
      <c r="F52" s="3"/>
      <c r="G52" s="4"/>
      <c r="H52" s="4"/>
    </row>
    <row r="53" spans="2:8" s="1" customFormat="1">
      <c r="F53" s="3"/>
      <c r="G53" s="4"/>
      <c r="H53" s="4"/>
    </row>
    <row r="54" spans="2:8" s="1" customFormat="1">
      <c r="F54" s="3"/>
      <c r="G54" s="4"/>
      <c r="H54" s="4"/>
    </row>
    <row r="55" spans="2:8" s="1" customFormat="1">
      <c r="F55" s="3"/>
      <c r="G55" s="4"/>
      <c r="H55" s="4"/>
    </row>
    <row r="56" spans="2:8" s="1" customFormat="1">
      <c r="F56" s="3"/>
      <c r="G56" s="4"/>
      <c r="H56" s="4"/>
    </row>
    <row r="57" spans="2:8" s="1" customFormat="1">
      <c r="F57" s="3"/>
      <c r="G57" s="4"/>
      <c r="H57" s="4"/>
    </row>
    <row r="58" spans="2:8" s="1" customFormat="1">
      <c r="F58" s="3"/>
      <c r="G58" s="4"/>
      <c r="H58" s="4"/>
    </row>
    <row r="59" spans="2:8" s="1" customFormat="1">
      <c r="F59" s="3"/>
      <c r="G59" s="4"/>
      <c r="H59" s="4"/>
    </row>
    <row r="60" spans="2:8" s="1" customFormat="1">
      <c r="F60" s="3"/>
      <c r="G60" s="4"/>
      <c r="H60" s="4"/>
    </row>
    <row r="61" spans="2:8" s="1" customFormat="1">
      <c r="F61" s="3"/>
      <c r="G61" s="4"/>
      <c r="H61" s="4"/>
    </row>
    <row r="62" spans="2:8" s="1" customFormat="1">
      <c r="F62" s="3"/>
      <c r="G62" s="4"/>
      <c r="H62" s="4"/>
    </row>
    <row r="63" spans="2:8" s="1" customFormat="1">
      <c r="F63" s="3"/>
      <c r="G63" s="4"/>
      <c r="H63" s="4"/>
    </row>
    <row r="64" spans="2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8" s="1" customFormat="1">
      <c r="F97" s="3"/>
      <c r="G97" s="4"/>
      <c r="H97" s="4"/>
    </row>
    <row r="98" spans="6:8" s="1" customFormat="1">
      <c r="F98" s="3"/>
      <c r="G98" s="4"/>
      <c r="H98" s="4"/>
    </row>
    <row r="99" spans="6:8" s="1" customFormat="1">
      <c r="F99" s="3"/>
      <c r="G99" s="4"/>
      <c r="H99" s="4"/>
    </row>
    <row r="100" spans="6:8" s="1" customFormat="1">
      <c r="F100" s="3"/>
      <c r="G100" s="4"/>
      <c r="H100" s="4"/>
    </row>
    <row r="101" spans="6:8" s="1" customFormat="1">
      <c r="F101" s="3"/>
      <c r="G101" s="4"/>
      <c r="H101" s="4"/>
    </row>
    <row r="102" spans="6:8" s="1" customFormat="1">
      <c r="F102" s="3"/>
      <c r="G102" s="4"/>
      <c r="H102" s="4"/>
    </row>
    <row r="103" spans="6:8" s="1" customFormat="1">
      <c r="F103" s="3"/>
      <c r="G103" s="4"/>
      <c r="H103" s="4"/>
    </row>
    <row r="104" spans="6:8" s="1" customFormat="1">
      <c r="F104" s="3"/>
    </row>
    <row r="105" spans="6:8" s="1" customFormat="1">
      <c r="F105" s="3"/>
    </row>
    <row r="106" spans="6:8" s="1" customFormat="1">
      <c r="F106" s="3"/>
    </row>
    <row r="107" spans="6:8" s="1" customFormat="1">
      <c r="F107" s="3"/>
    </row>
    <row r="108" spans="6:8" s="1" customFormat="1">
      <c r="F108" s="3"/>
    </row>
    <row r="109" spans="6:8" s="1" customFormat="1">
      <c r="F109" s="3"/>
    </row>
    <row r="110" spans="6:8" s="1" customFormat="1">
      <c r="F110" s="3"/>
    </row>
    <row r="111" spans="6:8" s="1" customFormat="1">
      <c r="F111" s="3"/>
    </row>
    <row r="112" spans="6:8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  <row r="182" spans="6:6" s="1" customFormat="1">
      <c r="F182" s="3"/>
    </row>
    <row r="183" spans="6:6" s="1" customFormat="1">
      <c r="F183" s="3"/>
    </row>
    <row r="184" spans="6:6" s="1" customFormat="1">
      <c r="F184" s="3"/>
    </row>
    <row r="185" spans="6:6" s="1" customFormat="1">
      <c r="F185" s="3"/>
    </row>
    <row r="186" spans="6:6" s="1" customFormat="1">
      <c r="F186" s="3"/>
    </row>
    <row r="187" spans="6:6" s="1" customFormat="1">
      <c r="F187" s="3"/>
    </row>
    <row r="188" spans="6:6" s="1" customFormat="1">
      <c r="F18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&amp; l Price Trust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2011-08-24T11:57:22Z</dcterms:created>
  <dcterms:modified xsi:type="dcterms:W3CDTF">2011-08-24T11:57:38Z</dcterms:modified>
</cp:coreProperties>
</file>