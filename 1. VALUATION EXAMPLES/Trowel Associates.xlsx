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I5" i="1" l="1"/>
  <c r="I6" i="1"/>
  <c r="I7" i="1"/>
  <c r="I14" i="1" s="1"/>
  <c r="G14" i="1" s="1"/>
  <c r="I8" i="1"/>
  <c r="I9" i="1"/>
  <c r="I10" i="1"/>
  <c r="I11" i="1"/>
  <c r="F14" i="1"/>
  <c r="G25" i="1" s="1"/>
  <c r="F21" i="1"/>
  <c r="I21" i="1"/>
  <c r="F25" i="1"/>
  <c r="I22" i="1" l="1"/>
  <c r="I23" i="1" s="1"/>
  <c r="I26" i="1" l="1"/>
  <c r="I28" i="1" s="1"/>
  <c r="H25" i="1"/>
  <c r="I29" i="1" l="1"/>
  <c r="I30" i="1" s="1"/>
  <c r="I31" i="1" s="1"/>
  <c r="I27" i="1"/>
</calcChain>
</file>

<file path=xl/sharedStrings.xml><?xml version="1.0" encoding="utf-8"?>
<sst xmlns="http://schemas.openxmlformats.org/spreadsheetml/2006/main" count="67" uniqueCount="37">
  <si>
    <t>Rounded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</si>
  <si>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</si>
  <si>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</si>
  <si>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</si>
  <si>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</si>
  <si>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</si>
  <si>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</si>
  <si>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</si>
  <si>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</si>
  <si>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</si>
  <si>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</si>
  <si>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</si>
  <si>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</si>
  <si>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Basement</t>
  </si>
  <si>
    <t>Open</t>
  </si>
  <si>
    <t>R/bay</t>
  </si>
  <si>
    <t>No. bays</t>
  </si>
  <si>
    <t>Parking</t>
  </si>
  <si>
    <t>N/A</t>
  </si>
  <si>
    <t>Storage</t>
  </si>
  <si>
    <t>Store rooms</t>
  </si>
  <si>
    <t>Flats</t>
  </si>
  <si>
    <t>Type C - Ground</t>
  </si>
  <si>
    <t>Type B - Ground</t>
  </si>
  <si>
    <t>Type A - Ground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</si>
  <si>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</si>
  <si>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</si>
  <si>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</si>
  <si>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</si>
  <si>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</si>
  <si>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</si>
  <si>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</si>
  <si>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</si>
  <si>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</si>
  <si>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</si>
  <si>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Trowel Associates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</si>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</sst>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sz val="8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3" fillId="0" borderId="1" xfId="0" applyNumberFormat="1" applyFont="1" applyBorder="1"/>
    <xf numFmtId="164" fontId="3" fillId="0" borderId="2" xfId="0" applyNumberFormat="1" applyFont="1" applyBorder="1"/>
    <xf numFmtId="1" fontId="3" fillId="0" borderId="2" xfId="0" applyNumberFormat="1" applyFont="1" applyBorder="1"/>
    <xf numFmtId="14" fontId="3" fillId="0" borderId="2" xfId="0" applyNumberFormat="1" applyFont="1" applyBorder="1"/>
    <xf numFmtId="165" fontId="3" fillId="0" borderId="2" xfId="0" applyNumberFormat="1" applyFont="1" applyBorder="1" applyAlignment="1">
      <alignment horizontal="right"/>
    </xf>
    <xf numFmtId="14" fontId="4" fillId="0" borderId="3" xfId="0" applyNumberFormat="1" applyFont="1" applyBorder="1"/>
    <xf numFmtId="14" fontId="0" fillId="0" borderId="0" xfId="0" applyNumberFormat="1" applyBorder="1"/>
    <xf numFmtId="166" fontId="5" fillId="0" borderId="4" xfId="0" applyNumberFormat="1" applyFont="1" applyBorder="1"/>
    <xf numFmtId="10" fontId="5" fillId="2" borderId="5" xfId="1" applyNumberFormat="1" applyFont="1" applyFill="1" applyBorder="1"/>
    <xf numFmtId="164" fontId="5" fillId="0" borderId="6" xfId="0" applyNumberFormat="1" applyFont="1" applyBorder="1"/>
    <xf numFmtId="49" fontId="5" fillId="0" borderId="6" xfId="0" applyNumberFormat="1" applyFont="1" applyBorder="1" applyAlignment="1">
      <alignment horizontal="left" wrapText="1"/>
    </xf>
    <xf numFmtId="49" fontId="6" fillId="0" borderId="6" xfId="0" applyNumberFormat="1" applyFont="1" applyBorder="1" applyAlignment="1">
      <alignment horizontal="left" wrapText="1"/>
    </xf>
    <xf numFmtId="49" fontId="7" fillId="0" borderId="7" xfId="0" applyNumberFormat="1" applyFont="1" applyBorder="1" applyAlignment="1">
      <alignment horizontal="left" wrapText="1"/>
    </xf>
    <xf numFmtId="166" fontId="6" fillId="0" borderId="4" xfId="0" applyNumberFormat="1" applyFont="1" applyBorder="1"/>
    <xf numFmtId="9" fontId="6" fillId="0" borderId="6" xfId="1" applyFont="1" applyBorder="1"/>
    <xf numFmtId="164" fontId="6" fillId="0" borderId="6" xfId="0" applyNumberFormat="1" applyFont="1" applyBorder="1"/>
    <xf numFmtId="4" fontId="0" fillId="0" borderId="0" xfId="0" applyNumberFormat="1"/>
    <xf numFmtId="166" fontId="6" fillId="0" borderId="8" xfId="0" applyNumberFormat="1" applyFont="1" applyBorder="1"/>
    <xf numFmtId="10" fontId="5" fillId="2" borderId="9" xfId="1" applyNumberFormat="1" applyFont="1" applyFill="1" applyBorder="1"/>
    <xf numFmtId="9" fontId="6" fillId="0" borderId="10" xfId="1" applyFont="1" applyBorder="1"/>
    <xf numFmtId="49" fontId="6" fillId="0" borderId="10" xfId="0" applyNumberFormat="1" applyFont="1" applyBorder="1" applyAlignment="1">
      <alignment wrapText="1"/>
    </xf>
    <xf numFmtId="49" fontId="6" fillId="0" borderId="10" xfId="0" applyNumberFormat="1" applyFont="1" applyBorder="1" applyAlignment="1">
      <alignment horizontal="left" wrapText="1"/>
    </xf>
    <xf numFmtId="49" fontId="5" fillId="0" borderId="10" xfId="0" applyNumberFormat="1" applyFont="1" applyBorder="1" applyAlignment="1">
      <alignment horizontal="left" wrapText="1"/>
    </xf>
    <xf numFmtId="49" fontId="7" fillId="0" borderId="11" xfId="0" applyNumberFormat="1" applyFont="1" applyBorder="1" applyAlignment="1">
      <alignment horizontal="left" wrapText="1"/>
    </xf>
    <xf numFmtId="166" fontId="6" fillId="0" borderId="12" xfId="0" applyNumberFormat="1" applyFont="1" applyBorder="1"/>
    <xf numFmtId="10" fontId="5" fillId="2" borderId="13" xfId="1" applyNumberFormat="1" applyFont="1" applyFill="1" applyBorder="1"/>
    <xf numFmtId="9" fontId="6" fillId="0" borderId="14" xfId="1" applyFont="1" applyBorder="1"/>
    <xf numFmtId="49" fontId="6" fillId="0" borderId="14" xfId="0" applyNumberFormat="1" applyFont="1" applyBorder="1" applyAlignment="1">
      <alignment wrapText="1"/>
    </xf>
    <xf numFmtId="49" fontId="6" fillId="0" borderId="14" xfId="0" applyNumberFormat="1" applyFont="1" applyBorder="1" applyAlignment="1">
      <alignment horizontal="left" wrapText="1"/>
    </xf>
    <xf numFmtId="49" fontId="5" fillId="0" borderId="14" xfId="0" applyNumberFormat="1" applyFont="1" applyBorder="1" applyAlignment="1">
      <alignment horizontal="left" wrapText="1"/>
    </xf>
    <xf numFmtId="49" fontId="7" fillId="0" borderId="15" xfId="0" applyNumberFormat="1" applyFont="1" applyBorder="1" applyAlignment="1">
      <alignment horizontal="left" wrapText="1"/>
    </xf>
    <xf numFmtId="166" fontId="6" fillId="0" borderId="16" xfId="0" applyNumberFormat="1" applyFont="1" applyBorder="1"/>
    <xf numFmtId="10" fontId="6" fillId="0" borderId="17" xfId="1" applyNumberFormat="1" applyFont="1" applyBorder="1"/>
    <xf numFmtId="167" fontId="6" fillId="0" borderId="2" xfId="0" applyNumberFormat="1" applyFont="1" applyBorder="1" applyAlignment="1">
      <alignment horizontal="right" wrapText="1"/>
    </xf>
    <xf numFmtId="165" fontId="6" fillId="3" borderId="2" xfId="0" applyNumberFormat="1" applyFont="1" applyFill="1" applyBorder="1" applyAlignment="1">
      <alignment horizontal="right" wrapText="1"/>
    </xf>
    <xf numFmtId="49" fontId="6" fillId="0" borderId="18" xfId="0" applyNumberFormat="1" applyFont="1" applyBorder="1" applyAlignment="1">
      <alignment horizontal="left" wrapText="1"/>
    </xf>
    <xf numFmtId="49" fontId="2" fillId="0" borderId="19" xfId="0" applyNumberFormat="1" applyFont="1" applyBorder="1" applyAlignment="1">
      <alignment horizontal="left" wrapText="1"/>
    </xf>
    <xf numFmtId="166" fontId="6" fillId="0" borderId="20" xfId="0" applyNumberFormat="1" applyFont="1" applyBorder="1"/>
    <xf numFmtId="164" fontId="6" fillId="0" borderId="21" xfId="0" applyNumberFormat="1" applyFont="1" applyBorder="1"/>
    <xf numFmtId="10" fontId="5" fillId="0" borderId="22" xfId="1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 wrapText="1"/>
    </xf>
    <xf numFmtId="49" fontId="5" fillId="0" borderId="23" xfId="0" applyNumberFormat="1" applyFont="1" applyBorder="1" applyAlignment="1">
      <alignment horizontal="left" wrapText="1"/>
    </xf>
    <xf numFmtId="49" fontId="7" fillId="0" borderId="24" xfId="0" applyNumberFormat="1" applyFont="1" applyBorder="1" applyAlignment="1">
      <alignment horizontal="left" wrapText="1"/>
    </xf>
    <xf numFmtId="166" fontId="5" fillId="0" borderId="25" xfId="0" applyNumberFormat="1" applyFont="1" applyBorder="1"/>
    <xf numFmtId="14" fontId="5" fillId="0" borderId="26" xfId="0" applyNumberFormat="1" applyFont="1" applyBorder="1"/>
    <xf numFmtId="164" fontId="5" fillId="0" borderId="26" xfId="0" applyNumberFormat="1" applyFont="1" applyBorder="1"/>
    <xf numFmtId="49" fontId="5" fillId="0" borderId="27" xfId="0" applyNumberFormat="1" applyFont="1" applyBorder="1" applyAlignment="1">
      <alignment horizontal="centerContinuous" wrapText="1"/>
    </xf>
    <xf numFmtId="49" fontId="5" fillId="0" borderId="27" xfId="0" applyNumberFormat="1" applyFont="1" applyBorder="1" applyAlignment="1">
      <alignment horizontal="left" wrapText="1"/>
    </xf>
    <xf numFmtId="14" fontId="5" fillId="0" borderId="27" xfId="0" applyNumberFormat="1" applyFont="1" applyBorder="1"/>
    <xf numFmtId="14" fontId="7" fillId="0" borderId="28" xfId="0" applyNumberFormat="1" applyFont="1" applyBorder="1"/>
    <xf numFmtId="164" fontId="5" fillId="0" borderId="25" xfId="0" applyNumberFormat="1" applyFont="1" applyBorder="1"/>
    <xf numFmtId="1" fontId="5" fillId="0" borderId="26" xfId="0" applyNumberFormat="1" applyFont="1" applyBorder="1"/>
    <xf numFmtId="49" fontId="5" fillId="0" borderId="25" xfId="0" applyNumberFormat="1" applyFont="1" applyBorder="1" applyAlignment="1">
      <alignment horizontal="left" wrapText="1"/>
    </xf>
    <xf numFmtId="49" fontId="5" fillId="0" borderId="26" xfId="0" applyNumberFormat="1" applyFont="1" applyBorder="1" applyAlignment="1">
      <alignment horizontal="left" wrapText="1"/>
    </xf>
    <xf numFmtId="49" fontId="7" fillId="0" borderId="29" xfId="0" applyNumberFormat="1" applyFont="1" applyBorder="1" applyAlignment="1">
      <alignment horizontal="left" wrapText="1"/>
    </xf>
    <xf numFmtId="166" fontId="5" fillId="4" borderId="25" xfId="0" applyNumberFormat="1" applyFont="1" applyFill="1" applyBorder="1"/>
    <xf numFmtId="164" fontId="5" fillId="4" borderId="26" xfId="0" applyNumberFormat="1" applyFont="1" applyFill="1" applyBorder="1"/>
    <xf numFmtId="164" fontId="5" fillId="4" borderId="25" xfId="0" applyNumberFormat="1" applyFont="1" applyFill="1" applyBorder="1"/>
    <xf numFmtId="1" fontId="5" fillId="4" borderId="26" xfId="0" applyNumberFormat="1" applyFont="1" applyFill="1" applyBorder="1"/>
    <xf numFmtId="49" fontId="5" fillId="4" borderId="25" xfId="0" applyNumberFormat="1" applyFont="1" applyFill="1" applyBorder="1" applyAlignment="1">
      <alignment horizontal="left" wrapText="1"/>
    </xf>
    <xf numFmtId="49" fontId="6" fillId="0" borderId="26" xfId="0" applyNumberFormat="1" applyFont="1" applyBorder="1" applyAlignment="1">
      <alignment horizontal="left" wrapText="1"/>
    </xf>
    <xf numFmtId="49" fontId="2" fillId="0" borderId="29" xfId="0" applyNumberFormat="1" applyFont="1" applyBorder="1" applyAlignment="1">
      <alignment horizontal="left" wrapText="1"/>
    </xf>
    <xf numFmtId="166" fontId="6" fillId="0" borderId="30" xfId="0" applyNumberFormat="1" applyFont="1" applyBorder="1"/>
    <xf numFmtId="164" fontId="6" fillId="0" borderId="0" xfId="0" applyNumberFormat="1" applyFont="1" applyBorder="1"/>
    <xf numFmtId="164" fontId="6" fillId="0" borderId="30" xfId="0" applyNumberFormat="1" applyFont="1" applyBorder="1"/>
    <xf numFmtId="1" fontId="6" fillId="0" borderId="0" xfId="0" applyNumberFormat="1" applyFont="1" applyBorder="1"/>
    <xf numFmtId="49" fontId="6" fillId="0" borderId="31" xfId="0" applyNumberFormat="1" applyFont="1" applyBorder="1" applyAlignment="1">
      <alignment horizontal="left" wrapText="1"/>
    </xf>
    <xf numFmtId="49" fontId="6" fillId="0" borderId="32" xfId="0" applyNumberFormat="1" applyFont="1" applyBorder="1" applyAlignment="1">
      <alignment horizontal="right" wrapText="1"/>
    </xf>
    <xf numFmtId="49" fontId="2" fillId="0" borderId="33" xfId="0" applyNumberFormat="1" applyFont="1" applyBorder="1" applyAlignment="1">
      <alignment horizontal="right" wrapText="1"/>
    </xf>
    <xf numFmtId="49" fontId="6" fillId="0" borderId="30" xfId="0" applyNumberFormat="1" applyFont="1" applyBorder="1" applyAlignment="1">
      <alignment horizontal="left" wrapText="1"/>
    </xf>
    <xf numFmtId="49" fontId="6" fillId="0" borderId="0" xfId="0" applyNumberFormat="1" applyFont="1" applyBorder="1" applyAlignment="1">
      <alignment horizontal="right" wrapText="1"/>
    </xf>
    <xf numFmtId="49" fontId="2" fillId="0" borderId="34" xfId="0" applyNumberFormat="1" applyFont="1" applyBorder="1" applyAlignment="1">
      <alignment horizontal="right" wrapText="1"/>
    </xf>
    <xf numFmtId="164" fontId="5" fillId="0" borderId="31" xfId="0" applyNumberFormat="1" applyFont="1" applyBorder="1" applyAlignment="1">
      <alignment horizontal="center"/>
    </xf>
    <xf numFmtId="1" fontId="5" fillId="0" borderId="32" xfId="0" applyNumberFormat="1" applyFont="1" applyBorder="1" applyAlignment="1">
      <alignment horizontal="center"/>
    </xf>
    <xf numFmtId="49" fontId="6" fillId="0" borderId="31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center" wrapText="1"/>
    </xf>
    <xf numFmtId="49" fontId="7" fillId="0" borderId="33" xfId="0" applyNumberFormat="1" applyFont="1" applyBorder="1" applyAlignment="1">
      <alignment horizontal="center" wrapText="1"/>
    </xf>
    <xf numFmtId="164" fontId="6" fillId="3" borderId="35" xfId="0" applyNumberFormat="1" applyFont="1" applyFill="1" applyBorder="1"/>
    <xf numFmtId="1" fontId="6" fillId="3" borderId="36" xfId="0" applyNumberFormat="1" applyFont="1" applyFill="1" applyBorder="1"/>
    <xf numFmtId="49" fontId="6" fillId="3" borderId="35" xfId="0" applyNumberFormat="1" applyFont="1" applyFill="1" applyBorder="1" applyAlignment="1">
      <alignment horizontal="left" wrapText="1"/>
    </xf>
    <xf numFmtId="49" fontId="6" fillId="3" borderId="36" xfId="0" applyNumberFormat="1" applyFont="1" applyFill="1" applyBorder="1" applyAlignment="1">
      <alignment horizontal="left" wrapText="1"/>
    </xf>
    <xf numFmtId="49" fontId="2" fillId="3" borderId="37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6" fillId="0" borderId="35" xfId="0" applyNumberFormat="1" applyFont="1" applyBorder="1"/>
    <xf numFmtId="165" fontId="6" fillId="0" borderId="38" xfId="0" applyNumberFormat="1" applyFont="1" applyBorder="1"/>
    <xf numFmtId="4" fontId="6" fillId="0" borderId="30" xfId="0" applyNumberFormat="1" applyFont="1" applyBorder="1"/>
    <xf numFmtId="3" fontId="6" fillId="0" borderId="36" xfId="0" applyNumberFormat="1" applyFont="1" applyBorder="1"/>
    <xf numFmtId="49" fontId="6" fillId="0" borderId="35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2" fillId="0" borderId="30" xfId="0" applyNumberFormat="1" applyFont="1" applyBorder="1"/>
    <xf numFmtId="4" fontId="6" fillId="0" borderId="32" xfId="0" applyNumberFormat="1" applyFont="1" applyBorder="1"/>
    <xf numFmtId="4" fontId="6" fillId="0" borderId="31" xfId="0" applyNumberFormat="1" applyFont="1" applyBorder="1"/>
    <xf numFmtId="3" fontId="6" fillId="0" borderId="32" xfId="0" applyNumberFormat="1" applyFont="1" applyBorder="1"/>
    <xf numFmtId="49" fontId="2" fillId="0" borderId="30" xfId="0" applyNumberFormat="1" applyFont="1" applyBorder="1" applyAlignment="1">
      <alignment horizontal="center" wrapText="1"/>
    </xf>
    <xf numFmtId="49" fontId="6" fillId="0" borderId="39" xfId="0" applyNumberFormat="1" applyFont="1" applyBorder="1" applyAlignment="1">
      <alignment horizontal="left" wrapText="1"/>
    </xf>
    <xf numFmtId="49" fontId="2" fillId="0" borderId="25" xfId="0" applyNumberFormat="1" applyFont="1" applyBorder="1" applyAlignment="1">
      <alignment horizontal="left" wrapText="1"/>
    </xf>
    <xf numFmtId="14" fontId="0" fillId="0" borderId="0" xfId="0" applyNumberFormat="1" applyFont="1" applyBorder="1"/>
    <xf numFmtId="49" fontId="2" fillId="0" borderId="0" xfId="0" applyNumberFormat="1" applyFont="1" applyBorder="1" applyAlignment="1">
      <alignment wrapText="1"/>
    </xf>
    <xf numFmtId="167" fontId="2" fillId="0" borderId="30" xfId="0" applyNumberFormat="1" applyFont="1" applyBorder="1" applyAlignment="1">
      <alignment horizontal="center" wrapText="1"/>
    </xf>
    <xf numFmtId="0" fontId="2" fillId="0" borderId="0" xfId="0" applyNumberFormat="1" applyFont="1" applyBorder="1" applyAlignment="1">
      <alignment wrapText="1"/>
    </xf>
    <xf numFmtId="14" fontId="2" fillId="0" borderId="30" xfId="0" applyNumberFormat="1" applyFont="1" applyBorder="1" applyAlignment="1">
      <alignment horizontal="center" wrapText="1"/>
    </xf>
    <xf numFmtId="14" fontId="2" fillId="0" borderId="30" xfId="0" applyNumberFormat="1" applyFont="1" applyBorder="1" applyAlignment="1">
      <alignment horizontal="center"/>
    </xf>
    <xf numFmtId="49" fontId="5" fillId="0" borderId="30" xfId="0" applyNumberFormat="1" applyFont="1" applyBorder="1" applyAlignment="1">
      <alignment horizontal="center" wrapText="1"/>
    </xf>
    <xf numFmtId="49" fontId="5" fillId="0" borderId="0" xfId="0" applyNumberFormat="1" applyFont="1" applyBorder="1" applyAlignment="1">
      <alignment wrapText="1"/>
    </xf>
    <xf numFmtId="14" fontId="5" fillId="0" borderId="0" xfId="0" applyNumberFormat="1" applyFont="1" applyBorder="1" applyAlignment="1">
      <alignment horizontal="center" wrapText="1"/>
    </xf>
    <xf numFmtId="14" fontId="5" fillId="0" borderId="30" xfId="0" applyNumberFormat="1" applyFont="1" applyBorder="1" applyAlignment="1">
      <alignment horizontal="center" wrapText="1"/>
    </xf>
    <xf numFmtId="14" fontId="7" fillId="0" borderId="40" xfId="0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wrapText="1"/>
    </xf>
    <xf numFmtId="49" fontId="5" fillId="0" borderId="41" xfId="0" applyNumberFormat="1" applyFont="1" applyBorder="1" applyAlignment="1">
      <alignment horizontal="center" wrapText="1"/>
    </xf>
    <xf numFmtId="14" fontId="5" fillId="0" borderId="26" xfId="0" applyNumberFormat="1" applyFont="1" applyBorder="1" applyAlignment="1">
      <alignment horizontal="center" wrapText="1"/>
    </xf>
    <xf numFmtId="14" fontId="5" fillId="0" borderId="41" xfId="0" applyNumberFormat="1" applyFont="1" applyBorder="1" applyAlignment="1">
      <alignment horizontal="center" wrapText="1"/>
    </xf>
    <xf numFmtId="14" fontId="7" fillId="0" borderId="29" xfId="0" applyNumberFormat="1" applyFont="1" applyBorder="1" applyAlignment="1">
      <alignment horizontal="center"/>
    </xf>
    <xf numFmtId="14" fontId="6" fillId="0" borderId="39" xfId="0" applyNumberFormat="1" applyFont="1" applyBorder="1"/>
    <xf numFmtId="14" fontId="6" fillId="0" borderId="26" xfId="0" applyNumberFormat="1" applyFont="1" applyBorder="1"/>
    <xf numFmtId="15" fontId="6" fillId="0" borderId="26" xfId="0" applyNumberFormat="1" applyFont="1" applyBorder="1"/>
    <xf numFmtId="14" fontId="2" fillId="0" borderId="29" xfId="0" applyNumberFormat="1" applyFont="1" applyBorder="1"/>
    <xf numFmtId="14" fontId="6" fillId="0" borderId="20" xfId="0" applyNumberFormat="1" applyFont="1" applyBorder="1"/>
    <xf numFmtId="14" fontId="6" fillId="0" borderId="42" xfId="0" applyNumberFormat="1" applyFont="1" applyBorder="1"/>
    <xf numFmtId="0" fontId="9" fillId="0" borderId="42" xfId="0" applyNumberFormat="1" applyFont="1" applyBorder="1"/>
    <xf numFmtId="14" fontId="10" fillId="0" borderId="42" xfId="0" applyNumberFormat="1" applyFont="1" applyBorder="1"/>
    <xf numFmtId="14" fontId="11" fillId="0" borderId="43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12</xdr:row>
      <xdr:rowOff>0</xdr:rowOff>
    </xdr:from>
    <xdr:ext cx="5133975" cy="914400"/>
    <xdr:sp macro="" textlink="">
      <xdr:nvSpPr>
        <xdr:cNvPr id="2" name="Rectangle 1"/>
        <xdr:cNvSpPr/>
      </xdr:nvSpPr>
      <xdr:spPr>
        <a:xfrm>
          <a:off x="133350" y="2286000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VU181"/>
  <sheetViews>
    <sheetView tabSelected="1" workbookViewId="0">
      <selection activeCell="B1" sqref="B1"/>
    </sheetView>
  </sheetViews>
  <sheetFormatPr defaultRowHeight="15" x14ac:dyDescent="0.2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4.42578125" style="1" bestFit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5" s="1" customFormat="1" ht="30.75" customHeight="1" x14ac:dyDescent="0.25">
      <c r="A1" s="130" t="s">
        <v>36</v>
      </c>
      <c r="B1" s="129" t="s">
        <v>35</v>
      </c>
      <c r="C1" s="129"/>
      <c r="D1" s="129"/>
      <c r="E1" s="127"/>
      <c r="F1" s="127"/>
      <c r="G1" s="128"/>
      <c r="H1" s="127"/>
      <c r="I1" s="126"/>
      <c r="J1" s="14"/>
    </row>
    <row r="2" spans="1:15" s="1" customFormat="1" ht="20.25" customHeight="1" thickBot="1" x14ac:dyDescent="0.3">
      <c r="A2" s="125" t="s">
        <v>34</v>
      </c>
      <c r="B2" s="123"/>
      <c r="C2" s="123"/>
      <c r="D2" s="123"/>
      <c r="E2" s="124">
        <v>40756</v>
      </c>
      <c r="F2" s="123"/>
      <c r="G2" s="123"/>
      <c r="H2" s="123"/>
      <c r="I2" s="122"/>
      <c r="J2" s="14"/>
    </row>
    <row r="3" spans="1:15" s="1" customFormat="1" ht="63.75" customHeight="1" thickBot="1" x14ac:dyDescent="0.3">
      <c r="A3" s="121" t="s">
        <v>33</v>
      </c>
      <c r="B3" s="120" t="s">
        <v>32</v>
      </c>
      <c r="C3" s="120" t="s">
        <v>31</v>
      </c>
      <c r="D3" s="120" t="s">
        <v>30</v>
      </c>
      <c r="E3" s="120" t="s">
        <v>29</v>
      </c>
      <c r="F3" s="119" t="s">
        <v>28</v>
      </c>
      <c r="G3" s="118" t="s">
        <v>27</v>
      </c>
      <c r="H3" s="117" t="s">
        <v>26</v>
      </c>
      <c r="I3" s="116" t="s">
        <v>25</v>
      </c>
      <c r="J3" s="14"/>
    </row>
    <row r="4" spans="1:15" s="1" customFormat="1" ht="18" customHeight="1" x14ac:dyDescent="0.25">
      <c r="A4" s="115"/>
      <c r="B4" s="113"/>
      <c r="C4" s="114"/>
      <c r="D4" s="114"/>
      <c r="E4" s="114"/>
      <c r="F4" s="113"/>
      <c r="G4" s="111"/>
      <c r="H4" s="112"/>
      <c r="I4" s="111"/>
      <c r="J4" s="14"/>
    </row>
    <row r="5" spans="1:15" customFormat="1" ht="18" customHeight="1" x14ac:dyDescent="0.25">
      <c r="A5" s="110" t="s">
        <v>24</v>
      </c>
      <c r="B5" s="110" t="s">
        <v>21</v>
      </c>
      <c r="C5" s="102" t="s">
        <v>18</v>
      </c>
      <c r="D5" s="102" t="s">
        <v>18</v>
      </c>
      <c r="E5" s="109" t="s">
        <v>18</v>
      </c>
      <c r="F5" s="108">
        <v>24</v>
      </c>
      <c r="G5" s="107">
        <v>3975</v>
      </c>
      <c r="H5" s="106"/>
      <c r="I5" s="98">
        <f>G5*F5</f>
        <v>95400</v>
      </c>
      <c r="J5" s="105"/>
      <c r="K5" s="1"/>
      <c r="L5" s="1"/>
      <c r="M5" s="1"/>
      <c r="N5" s="1"/>
      <c r="O5" s="1"/>
    </row>
    <row r="6" spans="1:15" customFormat="1" ht="18" customHeight="1" x14ac:dyDescent="0.25">
      <c r="A6" s="110" t="s">
        <v>24</v>
      </c>
      <c r="B6" s="110" t="s">
        <v>21</v>
      </c>
      <c r="C6" s="102" t="s">
        <v>18</v>
      </c>
      <c r="D6" s="102" t="s">
        <v>18</v>
      </c>
      <c r="E6" s="109" t="s">
        <v>18</v>
      </c>
      <c r="F6" s="108">
        <v>12</v>
      </c>
      <c r="G6" s="107">
        <v>4085</v>
      </c>
      <c r="H6" s="106"/>
      <c r="I6" s="98">
        <f>G6*F6</f>
        <v>49020</v>
      </c>
      <c r="J6" s="105"/>
      <c r="K6" s="1"/>
      <c r="L6" s="1"/>
      <c r="M6" s="1"/>
      <c r="N6" s="1"/>
      <c r="O6" s="1"/>
    </row>
    <row r="7" spans="1:15" customFormat="1" ht="18" customHeight="1" x14ac:dyDescent="0.25">
      <c r="A7" s="110" t="s">
        <v>23</v>
      </c>
      <c r="B7" s="110" t="s">
        <v>21</v>
      </c>
      <c r="C7" s="102" t="s">
        <v>18</v>
      </c>
      <c r="D7" s="102" t="s">
        <v>18</v>
      </c>
      <c r="E7" s="109" t="s">
        <v>18</v>
      </c>
      <c r="F7" s="108">
        <v>4</v>
      </c>
      <c r="G7" s="107">
        <v>4575</v>
      </c>
      <c r="H7" s="106"/>
      <c r="I7" s="98">
        <f>G7*F7</f>
        <v>18300</v>
      </c>
      <c r="J7" s="105"/>
      <c r="K7" s="1"/>
      <c r="L7" s="1"/>
      <c r="M7" s="1"/>
      <c r="N7" s="1"/>
      <c r="O7" s="1"/>
    </row>
    <row r="8" spans="1:15" customFormat="1" ht="18" customHeight="1" x14ac:dyDescent="0.25">
      <c r="A8" s="110" t="s">
        <v>23</v>
      </c>
      <c r="B8" s="110" t="s">
        <v>21</v>
      </c>
      <c r="C8" s="102" t="s">
        <v>18</v>
      </c>
      <c r="D8" s="102" t="s">
        <v>18</v>
      </c>
      <c r="E8" s="109" t="s">
        <v>18</v>
      </c>
      <c r="F8" s="108">
        <v>2</v>
      </c>
      <c r="G8" s="107">
        <v>4685</v>
      </c>
      <c r="H8" s="106"/>
      <c r="I8" s="98">
        <f>G8*F8</f>
        <v>9370</v>
      </c>
      <c r="J8" s="105"/>
      <c r="K8" s="1"/>
      <c r="L8" s="1"/>
      <c r="M8" s="1"/>
      <c r="N8" s="1"/>
      <c r="O8" s="1"/>
    </row>
    <row r="9" spans="1:15" customFormat="1" ht="18" customHeight="1" x14ac:dyDescent="0.25">
      <c r="A9" s="110" t="s">
        <v>22</v>
      </c>
      <c r="B9" s="110" t="s">
        <v>21</v>
      </c>
      <c r="C9" s="102" t="s">
        <v>18</v>
      </c>
      <c r="D9" s="102" t="s">
        <v>18</v>
      </c>
      <c r="E9" s="109" t="s">
        <v>18</v>
      </c>
      <c r="F9" s="108">
        <v>24</v>
      </c>
      <c r="G9" s="107">
        <v>4775</v>
      </c>
      <c r="H9" s="106"/>
      <c r="I9" s="98">
        <f>G9*F9</f>
        <v>114600</v>
      </c>
      <c r="J9" s="105"/>
      <c r="K9" s="1"/>
      <c r="L9" s="1"/>
      <c r="M9" s="1"/>
      <c r="N9" s="1"/>
      <c r="O9" s="1"/>
    </row>
    <row r="10" spans="1:15" customFormat="1" ht="18" customHeight="1" x14ac:dyDescent="0.25">
      <c r="A10" s="110" t="s">
        <v>22</v>
      </c>
      <c r="B10" s="110" t="s">
        <v>21</v>
      </c>
      <c r="C10" s="102" t="s">
        <v>18</v>
      </c>
      <c r="D10" s="102" t="s">
        <v>18</v>
      </c>
      <c r="E10" s="109" t="s">
        <v>18</v>
      </c>
      <c r="F10" s="108">
        <v>12</v>
      </c>
      <c r="G10" s="107">
        <v>4885</v>
      </c>
      <c r="H10" s="106"/>
      <c r="I10" s="98">
        <f>G10*F10</f>
        <v>58620</v>
      </c>
      <c r="J10" s="105"/>
      <c r="K10" s="1"/>
      <c r="L10" s="1"/>
      <c r="M10" s="1"/>
      <c r="N10" s="1"/>
      <c r="O10" s="1"/>
    </row>
    <row r="11" spans="1:15" customFormat="1" ht="18" customHeight="1" x14ac:dyDescent="0.25">
      <c r="A11" s="110" t="s">
        <v>20</v>
      </c>
      <c r="B11" s="110" t="s">
        <v>19</v>
      </c>
      <c r="C11" s="102" t="s">
        <v>18</v>
      </c>
      <c r="D11" s="102" t="s">
        <v>18</v>
      </c>
      <c r="E11" s="109" t="s">
        <v>18</v>
      </c>
      <c r="F11" s="108">
        <v>13</v>
      </c>
      <c r="G11" s="107">
        <v>300</v>
      </c>
      <c r="H11" s="106"/>
      <c r="I11" s="98">
        <f>G11*F11</f>
        <v>3900</v>
      </c>
      <c r="J11" s="105"/>
      <c r="K11" s="1"/>
      <c r="L11" s="1"/>
      <c r="M11" s="1"/>
      <c r="N11" s="1"/>
      <c r="O11" s="1"/>
    </row>
    <row r="12" spans="1:15" customFormat="1" ht="18" customHeight="1" x14ac:dyDescent="0.25">
      <c r="A12" s="110"/>
      <c r="B12" s="110"/>
      <c r="C12" s="102"/>
      <c r="D12" s="102"/>
      <c r="E12" s="109"/>
      <c r="F12" s="108"/>
      <c r="G12" s="107"/>
      <c r="H12" s="106"/>
      <c r="I12" s="98"/>
      <c r="J12" s="105"/>
      <c r="K12" s="1"/>
      <c r="L12" s="1"/>
      <c r="M12" s="1"/>
      <c r="N12" s="1"/>
      <c r="O12" s="1"/>
    </row>
    <row r="13" spans="1:15" customFormat="1" ht="15.75" thickBot="1" x14ac:dyDescent="0.3">
      <c r="A13" s="104"/>
      <c r="B13" s="103"/>
      <c r="C13" s="82"/>
      <c r="D13" s="102"/>
      <c r="E13" s="102"/>
      <c r="F13" s="101"/>
      <c r="G13" s="100"/>
      <c r="H13" s="99"/>
      <c r="I13" s="98"/>
      <c r="J13" s="14"/>
      <c r="K13" s="1"/>
      <c r="L13" s="91"/>
      <c r="M13" s="90"/>
      <c r="N13" s="1"/>
      <c r="O13" s="1"/>
    </row>
    <row r="14" spans="1:15" customFormat="1" x14ac:dyDescent="0.25">
      <c r="A14" s="97" t="s">
        <v>6</v>
      </c>
      <c r="B14" s="74"/>
      <c r="C14" s="96"/>
      <c r="D14" s="96"/>
      <c r="E14" s="96"/>
      <c r="F14" s="95">
        <f>SUM(F5:F13)</f>
        <v>91</v>
      </c>
      <c r="G14" s="94">
        <f>I14/F14</f>
        <v>3837.4725274725274</v>
      </c>
      <c r="H14" s="93">
        <v>0</v>
      </c>
      <c r="I14" s="92">
        <f>SUM(I5:I12)</f>
        <v>349210</v>
      </c>
      <c r="J14" s="14"/>
      <c r="K14" s="1"/>
      <c r="L14" s="91"/>
      <c r="M14" s="90"/>
      <c r="N14" s="1"/>
      <c r="O14" s="1"/>
    </row>
    <row r="15" spans="1:15" customFormat="1" x14ac:dyDescent="0.25">
      <c r="A15" s="89"/>
      <c r="B15" s="88"/>
      <c r="C15" s="88"/>
      <c r="D15" s="88"/>
      <c r="E15" s="87"/>
      <c r="F15" s="86"/>
      <c r="G15" s="85"/>
      <c r="H15" s="71"/>
      <c r="I15" s="70"/>
      <c r="J15" s="14"/>
      <c r="K15" s="1"/>
      <c r="L15" s="1"/>
      <c r="M15" s="1"/>
      <c r="N15" s="1"/>
      <c r="O15" s="1"/>
    </row>
    <row r="16" spans="1:15" customFormat="1" x14ac:dyDescent="0.25">
      <c r="A16" s="84" t="s">
        <v>17</v>
      </c>
      <c r="B16" s="83"/>
      <c r="C16" s="83"/>
      <c r="D16" s="83"/>
      <c r="E16" s="82"/>
      <c r="F16" s="81" t="s">
        <v>16</v>
      </c>
      <c r="G16" s="80" t="s">
        <v>15</v>
      </c>
      <c r="H16" s="71"/>
      <c r="I16" s="70"/>
      <c r="J16" s="14"/>
      <c r="K16" s="1"/>
      <c r="L16" s="1"/>
      <c r="M16" s="1"/>
      <c r="N16" s="1"/>
      <c r="O16" s="1"/>
    </row>
    <row r="17" spans="1:15" customFormat="1" x14ac:dyDescent="0.25">
      <c r="A17" s="79"/>
      <c r="B17" s="78"/>
      <c r="C17" s="78"/>
      <c r="D17" s="78"/>
      <c r="E17" s="77"/>
      <c r="F17" s="73"/>
      <c r="G17" s="72"/>
      <c r="H17" s="71"/>
      <c r="I17" s="70"/>
      <c r="J17" s="14"/>
      <c r="K17" s="1"/>
      <c r="L17" s="1"/>
      <c r="M17" s="1"/>
      <c r="N17" s="1"/>
      <c r="O17" s="1"/>
    </row>
    <row r="18" spans="1:15" customFormat="1" x14ac:dyDescent="0.25">
      <c r="A18" s="79"/>
      <c r="B18" s="78"/>
      <c r="C18" s="78"/>
      <c r="D18" s="78"/>
      <c r="E18" s="77" t="s">
        <v>14</v>
      </c>
      <c r="F18" s="73"/>
      <c r="G18" s="72"/>
      <c r="H18" s="71"/>
      <c r="I18" s="70"/>
      <c r="J18" s="14"/>
      <c r="K18" s="1"/>
      <c r="L18" s="1"/>
      <c r="M18" s="1"/>
      <c r="N18" s="1"/>
      <c r="O18" s="1"/>
    </row>
    <row r="19" spans="1:15" customFormat="1" x14ac:dyDescent="0.25">
      <c r="A19" s="79"/>
      <c r="B19" s="78"/>
      <c r="C19" s="78"/>
      <c r="D19" s="78"/>
      <c r="E19" s="77" t="s">
        <v>13</v>
      </c>
      <c r="F19" s="73"/>
      <c r="G19" s="72"/>
      <c r="H19" s="71"/>
      <c r="I19" s="70"/>
      <c r="J19" s="14"/>
      <c r="K19" s="1"/>
      <c r="L19" s="1"/>
      <c r="M19" s="1"/>
      <c r="N19" s="1"/>
      <c r="O19" s="1"/>
    </row>
    <row r="20" spans="1:15" customFormat="1" x14ac:dyDescent="0.25">
      <c r="A20" s="76"/>
      <c r="B20" s="75"/>
      <c r="C20" s="75"/>
      <c r="D20" s="75"/>
      <c r="E20" s="74"/>
      <c r="F20" s="73"/>
      <c r="G20" s="72"/>
      <c r="H20" s="71"/>
      <c r="I20" s="70"/>
      <c r="J20" s="14"/>
      <c r="K20" s="1"/>
      <c r="L20" s="1"/>
      <c r="M20" s="1"/>
      <c r="N20" s="1"/>
      <c r="O20" s="1"/>
    </row>
    <row r="21" spans="1:15" customFormat="1" ht="15.75" thickBot="1" x14ac:dyDescent="0.3">
      <c r="A21" s="69" t="s">
        <v>6</v>
      </c>
      <c r="B21" s="68"/>
      <c r="C21" s="68"/>
      <c r="D21" s="68"/>
      <c r="E21" s="67"/>
      <c r="F21" s="66">
        <f>SUM(F17:F20)</f>
        <v>0</v>
      </c>
      <c r="G21" s="65">
        <v>0</v>
      </c>
      <c r="H21" s="64"/>
      <c r="I21" s="63">
        <f>SUM(I17:I20)</f>
        <v>0</v>
      </c>
      <c r="J21" s="14"/>
      <c r="K21" s="1"/>
      <c r="L21" s="1"/>
      <c r="M21" s="1"/>
      <c r="N21" s="1"/>
      <c r="O21" s="1"/>
    </row>
    <row r="22" spans="1:15" customFormat="1" ht="18.75" customHeight="1" thickBot="1" x14ac:dyDescent="0.3">
      <c r="A22" s="62" t="s">
        <v>12</v>
      </c>
      <c r="B22" s="61"/>
      <c r="C22" s="61"/>
      <c r="D22" s="61"/>
      <c r="E22" s="60"/>
      <c r="F22" s="59"/>
      <c r="G22" s="58"/>
      <c r="H22" s="53"/>
      <c r="I22" s="51">
        <f>+I21+I14</f>
        <v>349210</v>
      </c>
      <c r="J22" s="14"/>
      <c r="K22" s="1"/>
      <c r="L22" s="24"/>
      <c r="M22" s="1"/>
      <c r="N22" s="1"/>
      <c r="O22" s="1"/>
    </row>
    <row r="23" spans="1:15" customFormat="1" ht="18.75" customHeight="1" thickBot="1" x14ac:dyDescent="0.3">
      <c r="A23" s="57" t="s">
        <v>11</v>
      </c>
      <c r="B23" s="56"/>
      <c r="C23" s="56"/>
      <c r="D23" s="56"/>
      <c r="E23" s="55"/>
      <c r="F23" s="54"/>
      <c r="G23" s="53"/>
      <c r="H23" s="52"/>
      <c r="I23" s="51">
        <f>+I22*12</f>
        <v>4190520</v>
      </c>
      <c r="J23" s="14"/>
      <c r="K23" s="1"/>
      <c r="L23" s="1"/>
      <c r="M23" s="1"/>
      <c r="N23" s="1"/>
      <c r="O23" s="1"/>
    </row>
    <row r="24" spans="1:15" customFormat="1" ht="18.75" customHeight="1" x14ac:dyDescent="0.25">
      <c r="A24" s="50" t="s">
        <v>10</v>
      </c>
      <c r="B24" s="49"/>
      <c r="C24" s="49"/>
      <c r="D24" s="49"/>
      <c r="E24" s="48" t="s">
        <v>9</v>
      </c>
      <c r="F24" s="48" t="s">
        <v>8</v>
      </c>
      <c r="G24" s="47" t="s">
        <v>7</v>
      </c>
      <c r="H24" s="46"/>
      <c r="I24" s="45"/>
      <c r="J24" s="14"/>
      <c r="K24" s="1"/>
      <c r="L24" s="1"/>
      <c r="M24" s="1"/>
      <c r="N24" s="1"/>
      <c r="O24" s="1"/>
    </row>
    <row r="25" spans="1:15" customFormat="1" ht="15.75" thickBot="1" x14ac:dyDescent="0.3">
      <c r="A25" s="44" t="s">
        <v>6</v>
      </c>
      <c r="B25" s="43"/>
      <c r="C25" s="43"/>
      <c r="D25" s="43"/>
      <c r="E25" s="42">
        <v>72000</v>
      </c>
      <c r="F25" s="42">
        <f>E25*12</f>
        <v>864000</v>
      </c>
      <c r="G25" s="41">
        <f>E25/F14</f>
        <v>791.20879120879124</v>
      </c>
      <c r="H25" s="40">
        <f>F25/I23</f>
        <v>0.20617966266716303</v>
      </c>
      <c r="I25" s="39"/>
      <c r="J25" s="14"/>
      <c r="K25" s="1"/>
      <c r="L25" s="24"/>
      <c r="M25" s="1"/>
      <c r="N25" s="1"/>
      <c r="O25" s="24"/>
    </row>
    <row r="26" spans="1:15" customFormat="1" ht="18.75" customHeight="1" x14ac:dyDescent="0.25">
      <c r="A26" s="38" t="s">
        <v>5</v>
      </c>
      <c r="B26" s="37"/>
      <c r="C26" s="37"/>
      <c r="D26" s="37"/>
      <c r="E26" s="36"/>
      <c r="F26" s="35"/>
      <c r="G26" s="34"/>
      <c r="H26" s="33">
        <v>0.03</v>
      </c>
      <c r="I26" s="32">
        <f>+I23*-H26</f>
        <v>-125715.59999999999</v>
      </c>
      <c r="J26" s="14"/>
      <c r="K26" s="1"/>
      <c r="L26" s="1"/>
      <c r="M26" s="1"/>
      <c r="N26" s="1"/>
      <c r="O26" s="24"/>
    </row>
    <row r="27" spans="1:15" customFormat="1" ht="18.75" customHeight="1" x14ac:dyDescent="0.25">
      <c r="A27" s="31" t="s">
        <v>4</v>
      </c>
      <c r="B27" s="30"/>
      <c r="C27" s="30"/>
      <c r="D27" s="30"/>
      <c r="E27" s="29"/>
      <c r="F27" s="28"/>
      <c r="G27" s="27"/>
      <c r="H27" s="26"/>
      <c r="I27" s="25">
        <f>+I28/12</f>
        <v>266733.7</v>
      </c>
      <c r="J27" s="14"/>
      <c r="K27" s="1"/>
      <c r="L27" s="1"/>
      <c r="M27" s="1"/>
      <c r="N27" s="1"/>
      <c r="O27" s="24"/>
    </row>
    <row r="28" spans="1:15" customFormat="1" ht="18.75" customHeight="1" x14ac:dyDescent="0.25">
      <c r="A28" s="20" t="s">
        <v>3</v>
      </c>
      <c r="B28" s="18"/>
      <c r="C28" s="18"/>
      <c r="D28" s="18"/>
      <c r="E28" s="19"/>
      <c r="F28" s="19"/>
      <c r="G28" s="23"/>
      <c r="H28" s="16"/>
      <c r="I28" s="21">
        <f>+I23-F25+I26</f>
        <v>3200804.4</v>
      </c>
      <c r="J28" s="14"/>
      <c r="K28" s="1"/>
      <c r="L28" s="1"/>
      <c r="M28" s="1"/>
      <c r="N28" s="1"/>
      <c r="O28" s="1"/>
    </row>
    <row r="29" spans="1:15" customFormat="1" ht="18.75" customHeight="1" x14ac:dyDescent="0.25">
      <c r="A29" s="20" t="s">
        <v>2</v>
      </c>
      <c r="B29" s="18"/>
      <c r="C29" s="18"/>
      <c r="D29" s="18"/>
      <c r="E29" s="19"/>
      <c r="F29" s="19"/>
      <c r="G29" s="22"/>
      <c r="H29" s="16">
        <v>0.11</v>
      </c>
      <c r="I29" s="21">
        <f>+I28/H29</f>
        <v>29098221.818181816</v>
      </c>
      <c r="J29" s="14"/>
      <c r="K29" s="1"/>
      <c r="L29" s="1"/>
      <c r="M29" s="1"/>
      <c r="N29" s="1"/>
      <c r="O29" s="1"/>
    </row>
    <row r="30" spans="1:15" customFormat="1" ht="18.75" customHeight="1" x14ac:dyDescent="0.25">
      <c r="A30" s="20" t="s">
        <v>1</v>
      </c>
      <c r="B30" s="18"/>
      <c r="C30" s="18"/>
      <c r="D30" s="18"/>
      <c r="E30" s="19"/>
      <c r="F30" s="18"/>
      <c r="G30" s="17"/>
      <c r="H30" s="16"/>
      <c r="I30" s="15">
        <f>ROUND(I29,-4)</f>
        <v>29100000</v>
      </c>
      <c r="J30" s="14"/>
      <c r="K30" s="1"/>
      <c r="L30" s="1"/>
      <c r="M30" s="1"/>
      <c r="N30" s="1"/>
      <c r="O30" s="1"/>
    </row>
    <row r="31" spans="1:15" customFormat="1" ht="16.5" thickBot="1" x14ac:dyDescent="0.3">
      <c r="A31" s="13" t="s">
        <v>0</v>
      </c>
      <c r="B31" s="12"/>
      <c r="C31" s="12"/>
      <c r="D31" s="12"/>
      <c r="E31" s="11"/>
      <c r="F31" s="10"/>
      <c r="G31" s="9"/>
      <c r="H31" s="9"/>
      <c r="I31" s="8">
        <f>I30</f>
        <v>29100000</v>
      </c>
      <c r="J31" s="1"/>
      <c r="K31" s="1"/>
      <c r="L31" s="1"/>
      <c r="M31" s="1"/>
      <c r="N31" s="1"/>
      <c r="O31" s="1"/>
    </row>
    <row r="32" spans="1:15" customFormat="1" x14ac:dyDescent="0.25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 x14ac:dyDescent="0.25">
      <c r="A33" s="2"/>
      <c r="B33" s="6"/>
      <c r="C33" s="6"/>
      <c r="D33" s="6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 x14ac:dyDescent="0.25">
      <c r="A34" s="2"/>
      <c r="B34" s="7"/>
      <c r="C34" s="6"/>
      <c r="D34" s="6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 x14ac:dyDescent="0.25">
      <c r="A35" s="2"/>
      <c r="B35" s="6"/>
      <c r="C35" s="6"/>
      <c r="D35" s="6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 x14ac:dyDescent="0.25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 x14ac:dyDescent="0.25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 x14ac:dyDescent="0.25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 x14ac:dyDescent="0.25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 x14ac:dyDescent="0.25">
      <c r="A40" s="2"/>
      <c r="B40" s="5"/>
      <c r="C40" s="5"/>
      <c r="D40" s="5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 x14ac:dyDescent="0.25">
      <c r="A41" s="2"/>
      <c r="B41" s="5"/>
      <c r="C41" s="5"/>
      <c r="D41" s="5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 x14ac:dyDescent="0.25">
      <c r="A42" s="2"/>
      <c r="B42" s="5"/>
      <c r="C42" s="5"/>
      <c r="D42" s="5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 x14ac:dyDescent="0.25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 x14ac:dyDescent="0.25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 x14ac:dyDescent="0.25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customFormat="1" x14ac:dyDescent="0.25">
      <c r="A46" s="2"/>
      <c r="B46" s="1"/>
      <c r="C46" s="1"/>
      <c r="D46" s="1"/>
      <c r="E46" s="1"/>
      <c r="F46" s="3"/>
      <c r="G46" s="4"/>
      <c r="H46" s="4"/>
      <c r="I46" s="1"/>
      <c r="J46" s="1"/>
      <c r="K46" s="1"/>
      <c r="L46" s="1"/>
      <c r="M46" s="1"/>
      <c r="N46" s="1"/>
      <c r="O46" s="1"/>
    </row>
    <row r="47" spans="1:15" customFormat="1" x14ac:dyDescent="0.25">
      <c r="A47" s="2"/>
      <c r="B47" s="1"/>
      <c r="C47" s="1"/>
      <c r="D47" s="1"/>
      <c r="E47" s="1"/>
      <c r="F47" s="3"/>
      <c r="G47" s="4"/>
      <c r="H47" s="4"/>
      <c r="I47" s="1"/>
      <c r="J47" s="1"/>
      <c r="K47" s="1"/>
      <c r="L47" s="1"/>
      <c r="M47" s="1"/>
      <c r="N47" s="1"/>
      <c r="O47" s="1"/>
    </row>
    <row r="48" spans="1:15" customFormat="1" x14ac:dyDescent="0.25">
      <c r="A48" s="2"/>
      <c r="B48" s="1"/>
      <c r="C48" s="1"/>
      <c r="D48" s="1"/>
      <c r="E48" s="1"/>
      <c r="F48" s="3"/>
      <c r="G48" s="4"/>
      <c r="H48" s="4"/>
      <c r="I48" s="1"/>
      <c r="J48" s="1"/>
      <c r="K48" s="1"/>
      <c r="L48" s="1"/>
      <c r="M48" s="1"/>
      <c r="N48" s="1"/>
      <c r="O48" s="1"/>
    </row>
    <row r="49" spans="1:15" customFormat="1" x14ac:dyDescent="0.25">
      <c r="A49" s="2"/>
      <c r="B49" s="1"/>
      <c r="C49" s="1"/>
      <c r="D49" s="1"/>
      <c r="E49" s="1"/>
      <c r="F49" s="3"/>
      <c r="G49" s="4"/>
      <c r="H49" s="4"/>
      <c r="I49" s="1"/>
      <c r="J49" s="1"/>
      <c r="K49" s="1"/>
      <c r="L49" s="1"/>
      <c r="M49" s="1"/>
      <c r="N49" s="1"/>
      <c r="O49" s="1"/>
    </row>
    <row r="50" spans="1:15" customFormat="1" x14ac:dyDescent="0.25">
      <c r="A50" s="2"/>
      <c r="B50" s="1"/>
      <c r="C50" s="1"/>
      <c r="D50" s="1"/>
      <c r="E50" s="1"/>
      <c r="F50" s="3"/>
      <c r="G50" s="4"/>
      <c r="H50" s="4"/>
      <c r="I50" s="1"/>
      <c r="J50" s="1"/>
      <c r="K50" s="1"/>
      <c r="L50" s="1"/>
      <c r="M50" s="1"/>
      <c r="N50" s="1"/>
      <c r="O50" s="1"/>
    </row>
    <row r="51" spans="1:15" customFormat="1" x14ac:dyDescent="0.25">
      <c r="A51" s="2"/>
      <c r="B51" s="1"/>
      <c r="C51" s="1"/>
      <c r="D51" s="1"/>
      <c r="E51" s="1"/>
      <c r="F51" s="3"/>
      <c r="G51" s="4"/>
      <c r="H51" s="4"/>
      <c r="I51" s="1"/>
      <c r="J51" s="1"/>
      <c r="K51" s="1"/>
      <c r="L51" s="1"/>
      <c r="M51" s="1"/>
      <c r="N51" s="1"/>
      <c r="O51" s="1"/>
    </row>
    <row r="52" spans="1:15" customFormat="1" x14ac:dyDescent="0.25">
      <c r="A52" s="2"/>
      <c r="B52" s="1"/>
      <c r="C52" s="1"/>
      <c r="D52" s="1"/>
      <c r="E52" s="1"/>
      <c r="F52" s="3"/>
      <c r="G52" s="4"/>
      <c r="H52" s="4"/>
      <c r="I52" s="1"/>
      <c r="J52" s="1"/>
      <c r="K52" s="1"/>
      <c r="L52" s="1"/>
      <c r="M52" s="1"/>
      <c r="N52" s="1"/>
      <c r="O52" s="1"/>
    </row>
    <row r="53" spans="1:15" customFormat="1" x14ac:dyDescent="0.25">
      <c r="A53" s="2"/>
      <c r="B53" s="1"/>
      <c r="C53" s="1"/>
      <c r="D53" s="1"/>
      <c r="E53" s="1"/>
      <c r="F53" s="3"/>
      <c r="G53" s="4"/>
      <c r="H53" s="4"/>
      <c r="I53" s="1"/>
      <c r="J53" s="1"/>
      <c r="K53" s="1"/>
      <c r="L53" s="1"/>
      <c r="M53" s="1"/>
      <c r="N53" s="1"/>
      <c r="O53" s="1"/>
    </row>
    <row r="54" spans="1:15" customFormat="1" x14ac:dyDescent="0.25">
      <c r="A54" s="2"/>
      <c r="B54" s="1"/>
      <c r="C54" s="1"/>
      <c r="D54" s="1"/>
      <c r="E54" s="1"/>
      <c r="F54" s="3"/>
      <c r="G54" s="4"/>
      <c r="H54" s="4"/>
      <c r="I54" s="1"/>
      <c r="J54" s="1"/>
      <c r="K54" s="1"/>
      <c r="L54" s="1"/>
      <c r="M54" s="1"/>
      <c r="N54" s="1"/>
      <c r="O54" s="1"/>
    </row>
    <row r="55" spans="1:15" customFormat="1" x14ac:dyDescent="0.25">
      <c r="A55" s="2"/>
      <c r="B55" s="1"/>
      <c r="C55" s="1"/>
      <c r="D55" s="1"/>
      <c r="E55" s="1"/>
      <c r="F55" s="3"/>
      <c r="G55" s="4"/>
      <c r="H55" s="4"/>
      <c r="I55" s="1"/>
      <c r="J55" s="1"/>
      <c r="K55" s="1"/>
      <c r="L55" s="1"/>
      <c r="M55" s="1"/>
      <c r="N55" s="1"/>
      <c r="O55" s="1"/>
    </row>
    <row r="56" spans="1:15" customFormat="1" x14ac:dyDescent="0.25">
      <c r="A56" s="2"/>
      <c r="B56" s="1"/>
      <c r="C56" s="1"/>
      <c r="D56" s="1"/>
      <c r="E56" s="1"/>
      <c r="F56" s="3"/>
      <c r="G56" s="4"/>
      <c r="H56" s="4"/>
      <c r="I56" s="1"/>
      <c r="J56" s="1"/>
      <c r="K56" s="1"/>
      <c r="L56" s="1"/>
      <c r="M56" s="1"/>
      <c r="N56" s="1"/>
      <c r="O56" s="1"/>
    </row>
    <row r="57" spans="1:15" customFormat="1" x14ac:dyDescent="0.25">
      <c r="A57" s="2"/>
      <c r="B57" s="1"/>
      <c r="C57" s="1"/>
      <c r="D57" s="1"/>
      <c r="E57" s="1"/>
      <c r="F57" s="3"/>
      <c r="G57" s="4"/>
      <c r="H57" s="4"/>
      <c r="I57" s="1"/>
      <c r="J57" s="1"/>
      <c r="K57" s="1"/>
      <c r="L57" s="1"/>
      <c r="M57" s="1"/>
      <c r="N57" s="1"/>
      <c r="O57" s="1"/>
    </row>
    <row r="58" spans="1:15" customFormat="1" x14ac:dyDescent="0.25">
      <c r="A58" s="2"/>
      <c r="B58" s="1"/>
      <c r="C58" s="1"/>
      <c r="D58" s="1"/>
      <c r="E58" s="1"/>
      <c r="F58" s="3"/>
      <c r="G58" s="4"/>
      <c r="H58" s="4"/>
      <c r="I58" s="1"/>
      <c r="J58" s="1"/>
      <c r="K58" s="1"/>
      <c r="L58" s="1"/>
      <c r="M58" s="1"/>
      <c r="N58" s="1"/>
      <c r="O58" s="1"/>
    </row>
    <row r="59" spans="1:15" customFormat="1" x14ac:dyDescent="0.25">
      <c r="A59" s="2"/>
      <c r="B59" s="1"/>
      <c r="C59" s="1"/>
      <c r="D59" s="1"/>
      <c r="E59" s="1"/>
      <c r="F59" s="3"/>
      <c r="G59" s="4"/>
      <c r="H59" s="4"/>
      <c r="I59" s="1"/>
      <c r="J59" s="1"/>
      <c r="K59" s="1"/>
      <c r="L59" s="1"/>
      <c r="M59" s="1"/>
      <c r="N59" s="1"/>
      <c r="O59" s="1"/>
    </row>
    <row r="60" spans="1:15" customFormat="1" x14ac:dyDescent="0.25">
      <c r="A60" s="2"/>
      <c r="B60" s="1"/>
      <c r="C60" s="1"/>
      <c r="D60" s="1"/>
      <c r="E60" s="1"/>
      <c r="F60" s="3"/>
      <c r="G60" s="4"/>
      <c r="H60" s="4"/>
      <c r="I60" s="1"/>
      <c r="J60" s="1"/>
      <c r="K60" s="1"/>
      <c r="L60" s="1"/>
      <c r="M60" s="1"/>
      <c r="N60" s="1"/>
      <c r="O60" s="1"/>
    </row>
    <row r="61" spans="1:15" customFormat="1" x14ac:dyDescent="0.25">
      <c r="A61" s="2"/>
      <c r="B61" s="1"/>
      <c r="C61" s="1"/>
      <c r="D61" s="1"/>
      <c r="E61" s="1"/>
      <c r="F61" s="3"/>
      <c r="G61" s="4"/>
      <c r="H61" s="4"/>
      <c r="I61" s="1"/>
      <c r="J61" s="1"/>
      <c r="K61" s="1"/>
      <c r="L61" s="1"/>
      <c r="M61" s="1"/>
      <c r="N61" s="1"/>
      <c r="O61" s="1"/>
    </row>
    <row r="62" spans="1:15" customFormat="1" x14ac:dyDescent="0.25">
      <c r="A62" s="2"/>
      <c r="B62" s="1"/>
      <c r="C62" s="1"/>
      <c r="D62" s="1"/>
      <c r="E62" s="1"/>
      <c r="F62" s="3"/>
      <c r="G62" s="4"/>
      <c r="H62" s="4"/>
      <c r="I62" s="1"/>
      <c r="J62" s="1"/>
      <c r="K62" s="1"/>
      <c r="L62" s="1"/>
      <c r="M62" s="1"/>
      <c r="N62" s="1"/>
      <c r="O62" s="1"/>
    </row>
    <row r="63" spans="1:15" customFormat="1" x14ac:dyDescent="0.25">
      <c r="A63" s="2"/>
      <c r="B63" s="1"/>
      <c r="C63" s="1"/>
      <c r="D63" s="1"/>
      <c r="E63" s="1"/>
      <c r="F63" s="3"/>
      <c r="G63" s="4"/>
      <c r="H63" s="4"/>
      <c r="I63" s="1"/>
      <c r="J63" s="1"/>
      <c r="K63" s="1"/>
      <c r="L63" s="1"/>
      <c r="M63" s="1"/>
      <c r="N63" s="1"/>
      <c r="O63" s="1"/>
    </row>
    <row r="64" spans="1:15" customFormat="1" x14ac:dyDescent="0.25">
      <c r="A64" s="2"/>
      <c r="B64" s="1"/>
      <c r="C64" s="1"/>
      <c r="D64" s="1"/>
      <c r="E64" s="1"/>
      <c r="F64" s="3"/>
      <c r="G64" s="4"/>
      <c r="H64" s="4"/>
      <c r="I64" s="1"/>
      <c r="J64" s="1"/>
      <c r="K64" s="1"/>
      <c r="L64" s="1"/>
      <c r="M64" s="1"/>
      <c r="N64" s="1"/>
      <c r="O64" s="1"/>
    </row>
    <row r="65" spans="1:15" customFormat="1" x14ac:dyDescent="0.25">
      <c r="A65" s="2"/>
      <c r="B65" s="1"/>
      <c r="C65" s="1"/>
      <c r="D65" s="1"/>
      <c r="E65" s="1"/>
      <c r="F65" s="3"/>
      <c r="G65" s="4"/>
      <c r="H65" s="4"/>
      <c r="I65" s="1"/>
      <c r="J65" s="1"/>
      <c r="K65" s="1"/>
      <c r="L65" s="1"/>
      <c r="M65" s="1"/>
      <c r="N65" s="1"/>
      <c r="O65" s="1"/>
    </row>
    <row r="66" spans="1:15" customFormat="1" x14ac:dyDescent="0.25">
      <c r="A66" s="2"/>
      <c r="B66" s="1"/>
      <c r="C66" s="1"/>
      <c r="D66" s="1"/>
      <c r="E66" s="1"/>
      <c r="F66" s="3"/>
      <c r="G66" s="4"/>
      <c r="H66" s="4"/>
      <c r="I66" s="1"/>
      <c r="J66" s="1"/>
      <c r="K66" s="1"/>
      <c r="L66" s="1"/>
      <c r="M66" s="1"/>
      <c r="N66" s="1"/>
      <c r="O66" s="1"/>
    </row>
    <row r="67" spans="1:15" customFormat="1" x14ac:dyDescent="0.25">
      <c r="A67" s="2"/>
      <c r="B67" s="1"/>
      <c r="C67" s="1"/>
      <c r="D67" s="1"/>
      <c r="E67" s="1"/>
      <c r="F67" s="3"/>
      <c r="G67" s="4"/>
      <c r="H67" s="4"/>
      <c r="I67" s="1"/>
      <c r="J67" s="1"/>
      <c r="K67" s="1"/>
      <c r="L67" s="1"/>
      <c r="M67" s="1"/>
      <c r="N67" s="1"/>
      <c r="O67" s="1"/>
    </row>
    <row r="68" spans="1:15" customFormat="1" x14ac:dyDescent="0.25">
      <c r="A68" s="2"/>
      <c r="B68" s="1"/>
      <c r="C68" s="1"/>
      <c r="D68" s="1"/>
      <c r="E68" s="1"/>
      <c r="F68" s="3"/>
      <c r="G68" s="4"/>
      <c r="H68" s="4"/>
      <c r="I68" s="1"/>
      <c r="J68" s="1"/>
      <c r="K68" s="1"/>
      <c r="L68" s="1"/>
      <c r="M68" s="1"/>
      <c r="N68" s="1"/>
      <c r="O68" s="1"/>
    </row>
    <row r="69" spans="1:15" customFormat="1" x14ac:dyDescent="0.25">
      <c r="A69" s="2"/>
      <c r="B69" s="1"/>
      <c r="C69" s="1"/>
      <c r="D69" s="1"/>
      <c r="E69" s="1"/>
      <c r="F69" s="3"/>
      <c r="G69" s="4"/>
      <c r="H69" s="4"/>
      <c r="I69" s="1"/>
      <c r="J69" s="1"/>
      <c r="K69" s="1"/>
      <c r="L69" s="1"/>
      <c r="M69" s="1"/>
      <c r="N69" s="1"/>
      <c r="O69" s="1"/>
    </row>
    <row r="70" spans="1:15" customFormat="1" x14ac:dyDescent="0.25">
      <c r="A70" s="2"/>
      <c r="B70" s="1"/>
      <c r="C70" s="1"/>
      <c r="D70" s="1"/>
      <c r="E70" s="1"/>
      <c r="F70" s="3"/>
      <c r="G70" s="4"/>
      <c r="H70" s="4"/>
      <c r="I70" s="1"/>
      <c r="J70" s="1"/>
      <c r="K70" s="1"/>
      <c r="L70" s="1"/>
      <c r="M70" s="1"/>
      <c r="N70" s="1"/>
      <c r="O70" s="1"/>
    </row>
    <row r="71" spans="1:15" customFormat="1" x14ac:dyDescent="0.25">
      <c r="A71" s="2"/>
      <c r="B71" s="1"/>
      <c r="C71" s="1"/>
      <c r="D71" s="1"/>
      <c r="E71" s="1"/>
      <c r="F71" s="3"/>
      <c r="G71" s="4"/>
      <c r="H71" s="4"/>
      <c r="I71" s="1"/>
      <c r="J71" s="1"/>
      <c r="K71" s="1"/>
      <c r="L71" s="1"/>
      <c r="M71" s="1"/>
      <c r="N71" s="1"/>
      <c r="O71" s="1"/>
    </row>
    <row r="72" spans="1:15" customFormat="1" x14ac:dyDescent="0.25">
      <c r="A72" s="2"/>
      <c r="B72" s="1"/>
      <c r="C72" s="1"/>
      <c r="D72" s="1"/>
      <c r="E72" s="1"/>
      <c r="F72" s="3"/>
      <c r="G72" s="4"/>
      <c r="H72" s="4"/>
      <c r="I72" s="1"/>
      <c r="J72" s="1"/>
      <c r="K72" s="1"/>
      <c r="L72" s="1"/>
      <c r="M72" s="1"/>
      <c r="N72" s="1"/>
      <c r="O72" s="1"/>
    </row>
    <row r="73" spans="1:15" customFormat="1" x14ac:dyDescent="0.25">
      <c r="A73" s="2"/>
      <c r="B73" s="1"/>
      <c r="C73" s="1"/>
      <c r="D73" s="1"/>
      <c r="E73" s="1"/>
      <c r="F73" s="3"/>
      <c r="G73" s="4"/>
      <c r="H73" s="4"/>
      <c r="I73" s="1"/>
      <c r="J73" s="1"/>
      <c r="K73" s="1"/>
      <c r="L73" s="1"/>
      <c r="M73" s="1"/>
      <c r="N73" s="1"/>
      <c r="O73" s="1"/>
    </row>
    <row r="74" spans="1:15" customFormat="1" x14ac:dyDescent="0.25">
      <c r="A74" s="2"/>
      <c r="B74" s="1"/>
      <c r="C74" s="1"/>
      <c r="D74" s="1"/>
      <c r="E74" s="1"/>
      <c r="F74" s="3"/>
      <c r="G74" s="4"/>
      <c r="H74" s="4"/>
      <c r="I74" s="1"/>
      <c r="J74" s="1"/>
      <c r="K74" s="1"/>
      <c r="L74" s="1"/>
      <c r="M74" s="1"/>
      <c r="N74" s="1"/>
      <c r="O74" s="1"/>
    </row>
    <row r="75" spans="1:15" customFormat="1" x14ac:dyDescent="0.25">
      <c r="A75" s="2"/>
      <c r="B75" s="1"/>
      <c r="C75" s="1"/>
      <c r="D75" s="1"/>
      <c r="E75" s="1"/>
      <c r="F75" s="3"/>
      <c r="G75" s="4"/>
      <c r="H75" s="4"/>
      <c r="I75" s="1"/>
      <c r="J75" s="1"/>
      <c r="K75" s="1"/>
      <c r="L75" s="1"/>
      <c r="M75" s="1"/>
      <c r="N75" s="1"/>
      <c r="O75" s="1"/>
    </row>
    <row r="76" spans="1:15" customFormat="1" x14ac:dyDescent="0.25">
      <c r="A76" s="2"/>
      <c r="B76" s="1"/>
      <c r="C76" s="1"/>
      <c r="D76" s="1"/>
      <c r="E76" s="1"/>
      <c r="F76" s="3"/>
      <c r="G76" s="4"/>
      <c r="H76" s="4"/>
      <c r="I76" s="1"/>
      <c r="J76" s="1"/>
      <c r="K76" s="1"/>
      <c r="L76" s="1"/>
      <c r="M76" s="1"/>
      <c r="N76" s="1"/>
      <c r="O76" s="1"/>
    </row>
    <row r="77" spans="1:15" customFormat="1" x14ac:dyDescent="0.25">
      <c r="A77" s="2"/>
      <c r="B77" s="1"/>
      <c r="C77" s="1"/>
      <c r="D77" s="1"/>
      <c r="E77" s="1"/>
      <c r="F77" s="3"/>
      <c r="G77" s="4"/>
      <c r="H77" s="4"/>
      <c r="I77" s="1"/>
      <c r="J77" s="1"/>
      <c r="K77" s="1"/>
      <c r="L77" s="1"/>
      <c r="M77" s="1"/>
      <c r="N77" s="1"/>
      <c r="O77" s="1"/>
    </row>
    <row r="78" spans="1:15" customFormat="1" x14ac:dyDescent="0.25">
      <c r="A78" s="2"/>
      <c r="B78" s="1"/>
      <c r="C78" s="1"/>
      <c r="D78" s="1"/>
      <c r="E78" s="1"/>
      <c r="F78" s="3"/>
      <c r="G78" s="4"/>
      <c r="H78" s="4"/>
      <c r="I78" s="1"/>
      <c r="J78" s="1"/>
      <c r="K78" s="1"/>
      <c r="L78" s="1"/>
      <c r="M78" s="1"/>
      <c r="N78" s="1"/>
      <c r="O78" s="1"/>
    </row>
    <row r="79" spans="1:15" customFormat="1" x14ac:dyDescent="0.25">
      <c r="A79" s="2"/>
      <c r="B79" s="1"/>
      <c r="C79" s="1"/>
      <c r="D79" s="1"/>
      <c r="E79" s="1"/>
      <c r="F79" s="3"/>
      <c r="G79" s="4"/>
      <c r="H79" s="4"/>
      <c r="I79" s="1"/>
      <c r="J79" s="1"/>
      <c r="K79" s="1"/>
      <c r="L79" s="1"/>
      <c r="M79" s="1"/>
      <c r="N79" s="1"/>
      <c r="O79" s="1"/>
    </row>
    <row r="80" spans="1:15" customFormat="1" x14ac:dyDescent="0.25">
      <c r="A80" s="2"/>
      <c r="B80" s="1"/>
      <c r="C80" s="1"/>
      <c r="D80" s="1"/>
      <c r="E80" s="1"/>
      <c r="F80" s="3"/>
      <c r="G80" s="4"/>
      <c r="H80" s="4"/>
      <c r="I80" s="1"/>
      <c r="J80" s="1"/>
      <c r="K80" s="1"/>
      <c r="L80" s="1"/>
      <c r="M80" s="1"/>
      <c r="N80" s="1"/>
      <c r="O80" s="1"/>
    </row>
    <row r="81" spans="1:15" customFormat="1" x14ac:dyDescent="0.25">
      <c r="A81" s="2"/>
      <c r="B81" s="1"/>
      <c r="C81" s="1"/>
      <c r="D81" s="1"/>
      <c r="E81" s="1"/>
      <c r="F81" s="3"/>
      <c r="G81" s="4"/>
      <c r="H81" s="4"/>
      <c r="I81" s="1"/>
      <c r="J81" s="1"/>
      <c r="K81" s="1"/>
      <c r="L81" s="1"/>
      <c r="M81" s="1"/>
      <c r="N81" s="1"/>
      <c r="O81" s="1"/>
    </row>
    <row r="82" spans="1:15" customFormat="1" x14ac:dyDescent="0.25">
      <c r="A82" s="2"/>
      <c r="B82" s="1"/>
      <c r="C82" s="1"/>
      <c r="D82" s="1"/>
      <c r="E82" s="1"/>
      <c r="F82" s="3"/>
      <c r="G82" s="4"/>
      <c r="H82" s="4"/>
      <c r="I82" s="1"/>
      <c r="J82" s="1"/>
      <c r="K82" s="1"/>
      <c r="L82" s="1"/>
      <c r="M82" s="1"/>
      <c r="N82" s="1"/>
      <c r="O82" s="1"/>
    </row>
    <row r="83" spans="1:15" customFormat="1" x14ac:dyDescent="0.25">
      <c r="A83" s="2"/>
      <c r="B83" s="1"/>
      <c r="C83" s="1"/>
      <c r="D83" s="1"/>
      <c r="E83" s="1"/>
      <c r="F83" s="3"/>
      <c r="G83" s="4"/>
      <c r="H83" s="4"/>
      <c r="I83" s="1"/>
      <c r="J83" s="1"/>
      <c r="K83" s="1"/>
      <c r="L83" s="1"/>
      <c r="M83" s="1"/>
      <c r="N83" s="1"/>
      <c r="O83" s="1"/>
    </row>
    <row r="84" spans="1:15" customFormat="1" x14ac:dyDescent="0.25">
      <c r="A84" s="2"/>
      <c r="B84" s="1"/>
      <c r="C84" s="1"/>
      <c r="D84" s="1"/>
      <c r="E84" s="1"/>
      <c r="F84" s="3"/>
      <c r="G84" s="4"/>
      <c r="H84" s="4"/>
      <c r="I84" s="1"/>
      <c r="J84" s="1"/>
      <c r="K84" s="1"/>
      <c r="L84" s="1"/>
      <c r="M84" s="1"/>
      <c r="N84" s="1"/>
      <c r="O84" s="1"/>
    </row>
    <row r="85" spans="1:15" customFormat="1" x14ac:dyDescent="0.25">
      <c r="A85" s="2"/>
      <c r="B85" s="1"/>
      <c r="C85" s="1"/>
      <c r="D85" s="1"/>
      <c r="E85" s="1"/>
      <c r="F85" s="3"/>
      <c r="G85" s="4"/>
      <c r="H85" s="4"/>
      <c r="I85" s="1"/>
      <c r="J85" s="1"/>
      <c r="K85" s="1"/>
      <c r="L85" s="1"/>
      <c r="M85" s="1"/>
      <c r="N85" s="1"/>
      <c r="O85" s="1"/>
    </row>
    <row r="86" spans="1:15" customFormat="1" x14ac:dyDescent="0.25">
      <c r="A86" s="2"/>
      <c r="B86" s="1"/>
      <c r="C86" s="1"/>
      <c r="D86" s="1"/>
      <c r="E86" s="1"/>
      <c r="F86" s="3"/>
      <c r="G86" s="4"/>
      <c r="H86" s="4"/>
      <c r="I86" s="1"/>
      <c r="J86" s="1"/>
      <c r="K86" s="1"/>
      <c r="L86" s="1"/>
      <c r="M86" s="1"/>
      <c r="N86" s="1"/>
      <c r="O86" s="1"/>
    </row>
    <row r="87" spans="1:15" customFormat="1" x14ac:dyDescent="0.25">
      <c r="A87" s="2"/>
      <c r="B87" s="1"/>
      <c r="C87" s="1"/>
      <c r="D87" s="1"/>
      <c r="E87" s="1"/>
      <c r="F87" s="3"/>
      <c r="G87" s="4"/>
      <c r="H87" s="4"/>
      <c r="I87" s="1"/>
      <c r="J87" s="1"/>
      <c r="K87" s="1"/>
      <c r="L87" s="1"/>
      <c r="M87" s="1"/>
      <c r="N87" s="1"/>
      <c r="O87" s="1"/>
    </row>
    <row r="88" spans="1:15" customFormat="1" x14ac:dyDescent="0.25">
      <c r="A88" s="2"/>
      <c r="B88" s="1"/>
      <c r="C88" s="1"/>
      <c r="D88" s="1"/>
      <c r="E88" s="1"/>
      <c r="F88" s="3"/>
      <c r="G88" s="4"/>
      <c r="H88" s="4"/>
      <c r="I88" s="1"/>
      <c r="J88" s="1"/>
      <c r="K88" s="1"/>
      <c r="L88" s="1"/>
      <c r="M88" s="1"/>
      <c r="N88" s="1"/>
      <c r="O88" s="1"/>
    </row>
    <row r="89" spans="1:15" customFormat="1" x14ac:dyDescent="0.25">
      <c r="A89" s="2"/>
      <c r="B89" s="1"/>
      <c r="C89" s="1"/>
      <c r="D89" s="1"/>
      <c r="E89" s="1"/>
      <c r="F89" s="3"/>
      <c r="G89" s="4"/>
      <c r="H89" s="4"/>
      <c r="I89" s="1"/>
      <c r="J89" s="1"/>
      <c r="K89" s="1"/>
      <c r="L89" s="1"/>
      <c r="M89" s="1"/>
      <c r="N89" s="1"/>
      <c r="O89" s="1"/>
    </row>
    <row r="90" spans="1:15" customFormat="1" x14ac:dyDescent="0.25">
      <c r="A90" s="2"/>
      <c r="B90" s="1"/>
      <c r="C90" s="1"/>
      <c r="D90" s="1"/>
      <c r="E90" s="1"/>
      <c r="F90" s="3"/>
      <c r="G90" s="4"/>
      <c r="H90" s="4"/>
      <c r="I90" s="1"/>
      <c r="J90" s="1"/>
      <c r="K90" s="1"/>
      <c r="L90" s="1"/>
      <c r="M90" s="1"/>
      <c r="N90" s="1"/>
      <c r="O90" s="1"/>
    </row>
    <row r="91" spans="1:15" customFormat="1" x14ac:dyDescent="0.25">
      <c r="A91" s="2"/>
      <c r="B91" s="1"/>
      <c r="C91" s="1"/>
      <c r="D91" s="1"/>
      <c r="E91" s="1"/>
      <c r="F91" s="3"/>
      <c r="G91" s="4"/>
      <c r="H91" s="4"/>
      <c r="I91" s="1"/>
      <c r="J91" s="1"/>
      <c r="K91" s="1"/>
      <c r="L91" s="1"/>
      <c r="M91" s="1"/>
      <c r="N91" s="1"/>
      <c r="O91" s="1"/>
    </row>
    <row r="92" spans="1:15" customFormat="1" x14ac:dyDescent="0.25">
      <c r="A92" s="2"/>
      <c r="B92" s="1"/>
      <c r="C92" s="1"/>
      <c r="D92" s="1"/>
      <c r="E92" s="1"/>
      <c r="F92" s="3"/>
      <c r="G92" s="4"/>
      <c r="H92" s="4"/>
      <c r="I92" s="1"/>
      <c r="J92" s="1"/>
      <c r="K92" s="1"/>
      <c r="L92" s="1"/>
      <c r="M92" s="1"/>
      <c r="N92" s="1"/>
      <c r="O92" s="1"/>
    </row>
    <row r="93" spans="1:15" customFormat="1" x14ac:dyDescent="0.25">
      <c r="A93" s="2"/>
      <c r="B93" s="1"/>
      <c r="C93" s="1"/>
      <c r="D93" s="1"/>
      <c r="E93" s="1"/>
      <c r="F93" s="3"/>
      <c r="G93" s="4"/>
      <c r="H93" s="4"/>
      <c r="I93" s="1"/>
      <c r="J93" s="1"/>
      <c r="K93" s="1"/>
      <c r="L93" s="1"/>
      <c r="M93" s="1"/>
      <c r="N93" s="1"/>
      <c r="O93" s="1"/>
    </row>
    <row r="94" spans="1:15" customFormat="1" x14ac:dyDescent="0.25">
      <c r="A94" s="2"/>
      <c r="B94" s="1"/>
      <c r="C94" s="1"/>
      <c r="D94" s="1"/>
      <c r="E94" s="1"/>
      <c r="F94" s="3"/>
      <c r="G94" s="4"/>
      <c r="H94" s="4"/>
      <c r="I94" s="1"/>
      <c r="J94" s="1"/>
      <c r="K94" s="1"/>
      <c r="L94" s="1"/>
      <c r="M94" s="1"/>
      <c r="N94" s="1"/>
      <c r="O94" s="1"/>
    </row>
    <row r="95" spans="1:15" customFormat="1" x14ac:dyDescent="0.25">
      <c r="A95" s="2"/>
      <c r="B95" s="1"/>
      <c r="C95" s="1"/>
      <c r="D95" s="1"/>
      <c r="E95" s="1"/>
      <c r="F95" s="3"/>
      <c r="G95" s="4"/>
      <c r="H95" s="4"/>
      <c r="I95" s="1"/>
      <c r="J95" s="1"/>
      <c r="K95" s="1"/>
      <c r="L95" s="1"/>
      <c r="M95" s="1"/>
      <c r="N95" s="1"/>
      <c r="O95" s="1"/>
    </row>
    <row r="96" spans="1:15" s="1" customFormat="1" x14ac:dyDescent="0.25">
      <c r="A96" s="2"/>
      <c r="F96" s="3"/>
      <c r="G96" s="4"/>
      <c r="H96" s="4"/>
    </row>
    <row r="97" spans="6:6" s="1" customFormat="1" x14ac:dyDescent="0.25">
      <c r="F97" s="3"/>
    </row>
    <row r="98" spans="6:6" s="1" customFormat="1" x14ac:dyDescent="0.25">
      <c r="F98" s="3"/>
    </row>
    <row r="99" spans="6:6" s="1" customFormat="1" x14ac:dyDescent="0.25">
      <c r="F99" s="3"/>
    </row>
    <row r="100" spans="6:6" s="1" customFormat="1" x14ac:dyDescent="0.25">
      <c r="F100" s="3"/>
    </row>
    <row r="101" spans="6:6" s="1" customFormat="1" x14ac:dyDescent="0.25">
      <c r="F101" s="3"/>
    </row>
    <row r="102" spans="6:6" s="1" customFormat="1" x14ac:dyDescent="0.25">
      <c r="F102" s="3"/>
    </row>
    <row r="103" spans="6:6" s="1" customFormat="1" x14ac:dyDescent="0.25">
      <c r="F103" s="3"/>
    </row>
    <row r="104" spans="6:6" s="1" customFormat="1" x14ac:dyDescent="0.25">
      <c r="F104" s="3"/>
    </row>
    <row r="105" spans="6:6" s="1" customFormat="1" x14ac:dyDescent="0.25">
      <c r="F105" s="3"/>
    </row>
    <row r="106" spans="6:6" s="1" customFormat="1" x14ac:dyDescent="0.25">
      <c r="F106" s="3"/>
    </row>
    <row r="107" spans="6:6" s="1" customFormat="1" x14ac:dyDescent="0.25">
      <c r="F107" s="3"/>
    </row>
    <row r="108" spans="6:6" s="1" customFormat="1" x14ac:dyDescent="0.25">
      <c r="F108" s="3"/>
    </row>
    <row r="109" spans="6:6" s="1" customFormat="1" x14ac:dyDescent="0.25">
      <c r="F109" s="3"/>
    </row>
    <row r="110" spans="6:6" s="1" customFormat="1" x14ac:dyDescent="0.25">
      <c r="F110" s="3"/>
    </row>
    <row r="111" spans="6:6" s="1" customFormat="1" x14ac:dyDescent="0.25">
      <c r="F111" s="3"/>
    </row>
    <row r="112" spans="6:6" s="1" customFormat="1" x14ac:dyDescent="0.25">
      <c r="F112" s="3"/>
    </row>
    <row r="113" spans="6:6" s="1" customFormat="1" x14ac:dyDescent="0.25">
      <c r="F113" s="3"/>
    </row>
    <row r="114" spans="6:6" s="1" customFormat="1" x14ac:dyDescent="0.25">
      <c r="F114" s="3"/>
    </row>
    <row r="115" spans="6:6" s="1" customFormat="1" x14ac:dyDescent="0.25">
      <c r="F115" s="3"/>
    </row>
    <row r="116" spans="6:6" s="1" customFormat="1" x14ac:dyDescent="0.25">
      <c r="F116" s="3"/>
    </row>
    <row r="117" spans="6:6" s="1" customFormat="1" x14ac:dyDescent="0.25">
      <c r="F117" s="3"/>
    </row>
    <row r="118" spans="6:6" s="1" customFormat="1" x14ac:dyDescent="0.25">
      <c r="F118" s="3"/>
    </row>
    <row r="119" spans="6:6" s="1" customFormat="1" x14ac:dyDescent="0.25">
      <c r="F119" s="3"/>
    </row>
    <row r="120" spans="6:6" s="1" customFormat="1" x14ac:dyDescent="0.25">
      <c r="F120" s="3"/>
    </row>
    <row r="121" spans="6:6" s="1" customFormat="1" x14ac:dyDescent="0.25">
      <c r="F121" s="3"/>
    </row>
    <row r="122" spans="6:6" s="1" customFormat="1" x14ac:dyDescent="0.25">
      <c r="F122" s="3"/>
    </row>
    <row r="123" spans="6:6" s="1" customFormat="1" x14ac:dyDescent="0.25">
      <c r="F123" s="3"/>
    </row>
    <row r="124" spans="6:6" s="1" customFormat="1" x14ac:dyDescent="0.25">
      <c r="F124" s="3"/>
    </row>
    <row r="125" spans="6:6" s="1" customFormat="1" x14ac:dyDescent="0.25">
      <c r="F125" s="3"/>
    </row>
    <row r="126" spans="6:6" s="1" customFormat="1" x14ac:dyDescent="0.25">
      <c r="F126" s="3"/>
    </row>
    <row r="127" spans="6:6" s="1" customFormat="1" x14ac:dyDescent="0.25">
      <c r="F127" s="3"/>
    </row>
    <row r="128" spans="6:6" s="1" customFormat="1" x14ac:dyDescent="0.25">
      <c r="F128" s="3"/>
    </row>
    <row r="129" spans="6:6" s="1" customFormat="1" x14ac:dyDescent="0.25">
      <c r="F129" s="3"/>
    </row>
    <row r="130" spans="6:6" s="1" customFormat="1" x14ac:dyDescent="0.25">
      <c r="F130" s="3"/>
    </row>
    <row r="131" spans="6:6" s="1" customFormat="1" x14ac:dyDescent="0.25">
      <c r="F131" s="3"/>
    </row>
    <row r="132" spans="6:6" s="1" customFormat="1" x14ac:dyDescent="0.25">
      <c r="F132" s="3"/>
    </row>
    <row r="133" spans="6:6" s="1" customFormat="1" x14ac:dyDescent="0.25">
      <c r="F133" s="3"/>
    </row>
    <row r="134" spans="6:6" s="1" customFormat="1" x14ac:dyDescent="0.25">
      <c r="F134" s="3"/>
    </row>
    <row r="135" spans="6:6" s="1" customFormat="1" x14ac:dyDescent="0.25">
      <c r="F135" s="3"/>
    </row>
    <row r="136" spans="6:6" s="1" customFormat="1" x14ac:dyDescent="0.25">
      <c r="F136" s="3"/>
    </row>
    <row r="137" spans="6:6" s="1" customFormat="1" x14ac:dyDescent="0.25">
      <c r="F137" s="3"/>
    </row>
    <row r="138" spans="6:6" s="1" customFormat="1" x14ac:dyDescent="0.25">
      <c r="F138" s="3"/>
    </row>
    <row r="139" spans="6:6" s="1" customFormat="1" x14ac:dyDescent="0.25">
      <c r="F139" s="3"/>
    </row>
    <row r="140" spans="6:6" s="1" customFormat="1" x14ac:dyDescent="0.25">
      <c r="F140" s="3"/>
    </row>
    <row r="141" spans="6:6" s="1" customFormat="1" x14ac:dyDescent="0.25">
      <c r="F141" s="3"/>
    </row>
    <row r="142" spans="6:6" s="1" customFormat="1" x14ac:dyDescent="0.25">
      <c r="F142" s="3"/>
    </row>
    <row r="143" spans="6:6" s="1" customFormat="1" x14ac:dyDescent="0.25">
      <c r="F143" s="3"/>
    </row>
    <row r="144" spans="6:6" s="1" customFormat="1" x14ac:dyDescent="0.25">
      <c r="F144" s="3"/>
    </row>
    <row r="145" spans="6:6" s="1" customFormat="1" x14ac:dyDescent="0.25">
      <c r="F145" s="3"/>
    </row>
    <row r="146" spans="6:6" s="1" customFormat="1" x14ac:dyDescent="0.25">
      <c r="F146" s="3"/>
    </row>
    <row r="147" spans="6:6" s="1" customFormat="1" x14ac:dyDescent="0.25">
      <c r="F147" s="3"/>
    </row>
    <row r="148" spans="6:6" s="1" customFormat="1" x14ac:dyDescent="0.25">
      <c r="F148" s="3"/>
    </row>
    <row r="149" spans="6:6" s="1" customFormat="1" x14ac:dyDescent="0.25">
      <c r="F149" s="3"/>
    </row>
    <row r="150" spans="6:6" s="1" customFormat="1" x14ac:dyDescent="0.25">
      <c r="F150" s="3"/>
    </row>
    <row r="151" spans="6:6" s="1" customFormat="1" x14ac:dyDescent="0.25">
      <c r="F151" s="3"/>
    </row>
    <row r="152" spans="6:6" s="1" customFormat="1" x14ac:dyDescent="0.25">
      <c r="F152" s="3"/>
    </row>
    <row r="153" spans="6:6" s="1" customFormat="1" x14ac:dyDescent="0.25">
      <c r="F153" s="3"/>
    </row>
    <row r="154" spans="6:6" s="1" customFormat="1" x14ac:dyDescent="0.25">
      <c r="F154" s="3"/>
    </row>
    <row r="155" spans="6:6" s="1" customFormat="1" x14ac:dyDescent="0.25">
      <c r="F155" s="3"/>
    </row>
    <row r="156" spans="6:6" s="1" customFormat="1" x14ac:dyDescent="0.25">
      <c r="F156" s="3"/>
    </row>
    <row r="157" spans="6:6" s="1" customFormat="1" x14ac:dyDescent="0.25">
      <c r="F157" s="3"/>
    </row>
    <row r="158" spans="6:6" s="1" customFormat="1" x14ac:dyDescent="0.25">
      <c r="F158" s="3"/>
    </row>
    <row r="159" spans="6:6" s="1" customFormat="1" x14ac:dyDescent="0.25">
      <c r="F159" s="3"/>
    </row>
    <row r="160" spans="6:6" s="1" customFormat="1" x14ac:dyDescent="0.25">
      <c r="F160" s="3"/>
    </row>
    <row r="161" spans="6:6" s="1" customFormat="1" x14ac:dyDescent="0.25">
      <c r="F161" s="3"/>
    </row>
    <row r="162" spans="6:6" s="1" customFormat="1" x14ac:dyDescent="0.25">
      <c r="F162" s="3"/>
    </row>
    <row r="163" spans="6:6" s="1" customFormat="1" x14ac:dyDescent="0.25">
      <c r="F163" s="3"/>
    </row>
    <row r="164" spans="6:6" s="1" customFormat="1" x14ac:dyDescent="0.25">
      <c r="F164" s="3"/>
    </row>
    <row r="165" spans="6:6" s="1" customFormat="1" x14ac:dyDescent="0.25">
      <c r="F165" s="3"/>
    </row>
    <row r="166" spans="6:6" s="1" customFormat="1" x14ac:dyDescent="0.25">
      <c r="F166" s="3"/>
    </row>
    <row r="167" spans="6:6" s="1" customFormat="1" x14ac:dyDescent="0.25">
      <c r="F167" s="3"/>
    </row>
    <row r="168" spans="6:6" s="1" customFormat="1" x14ac:dyDescent="0.25">
      <c r="F168" s="3"/>
    </row>
    <row r="169" spans="6:6" s="1" customFormat="1" x14ac:dyDescent="0.25">
      <c r="F169" s="3"/>
    </row>
    <row r="170" spans="6:6" s="1" customFormat="1" x14ac:dyDescent="0.25">
      <c r="F170" s="3"/>
    </row>
    <row r="171" spans="6:6" s="1" customFormat="1" x14ac:dyDescent="0.25">
      <c r="F171" s="3"/>
    </row>
    <row r="172" spans="6:6" s="1" customFormat="1" x14ac:dyDescent="0.25">
      <c r="F172" s="3"/>
    </row>
    <row r="173" spans="6:6" s="1" customFormat="1" x14ac:dyDescent="0.25">
      <c r="F173" s="3"/>
    </row>
    <row r="174" spans="6:6" s="1" customFormat="1" x14ac:dyDescent="0.25">
      <c r="F174" s="3"/>
    </row>
    <row r="175" spans="6:6" s="1" customFormat="1" x14ac:dyDescent="0.25">
      <c r="F175" s="3"/>
    </row>
    <row r="176" spans="6:6" s="1" customFormat="1" x14ac:dyDescent="0.25">
      <c r="F176" s="3"/>
    </row>
    <row r="177" spans="6:6" s="1" customFormat="1" x14ac:dyDescent="0.25">
      <c r="F177" s="3"/>
    </row>
    <row r="178" spans="6:6" s="1" customFormat="1" x14ac:dyDescent="0.25">
      <c r="F178" s="3"/>
    </row>
    <row r="179" spans="6:6" s="1" customFormat="1" x14ac:dyDescent="0.25">
      <c r="F179" s="3"/>
    </row>
    <row r="180" spans="6:6" s="1" customFormat="1" x14ac:dyDescent="0.25">
      <c r="F180" s="3"/>
    </row>
    <row r="181" spans="6:6" s="1" customFormat="1" x14ac:dyDescent="0.25">
      <c r="F181" s="3"/>
    </row>
  </sheetData>
  <pageMargins left="0.70866141732283472" right="0.70866141732283472" top="0.74803149606299213" bottom="0.74803149606299213" header="0.31496062992125984" footer="0.31496062992125984"/>
  <pageSetup scale="8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2011-08-24T12:14:30Z</dcterms:created>
  <dcterms:modified xsi:type="dcterms:W3CDTF">2011-08-24T12:15:27Z</dcterms:modified>
</cp:coreProperties>
</file>