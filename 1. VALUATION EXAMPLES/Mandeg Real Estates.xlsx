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 s="1"/>
  <c r="K5" i="1"/>
  <c r="F9" i="1"/>
  <c r="I13" i="1"/>
  <c r="I14" i="1"/>
  <c r="I15" i="1"/>
  <c r="K15" i="1" s="1"/>
  <c r="F16" i="1"/>
  <c r="E20" i="1"/>
  <c r="F20" i="1"/>
  <c r="G20" i="1"/>
  <c r="E34" i="1"/>
  <c r="I16" i="1" l="1"/>
  <c r="I17" i="1" s="1"/>
  <c r="I18" i="1" s="1"/>
  <c r="I9" i="1"/>
  <c r="G9" i="1" s="1"/>
  <c r="I21" i="1" l="1"/>
  <c r="I23" i="1"/>
  <c r="H20" i="1"/>
  <c r="I24" i="1" l="1"/>
  <c r="I22" i="1"/>
  <c r="E33" i="1" s="1"/>
  <c r="E37" i="1" s="1"/>
  <c r="I25" i="1" l="1"/>
  <c r="I26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<sst xmlns="http://schemas.openxmlformats.org/spreadsheetml/2006/main" count="50" uniqueCount="44">
  <si>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</si>
  <si>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</si>
  <si>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</si>
  <si>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</si>
  <si>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</si>
  <si>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</si>
  <si>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</si>
  <si>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</si>
  <si>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</si>
  <si>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</si>
  <si>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</si>
  <si>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</si>
  <si>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</si>
  <si>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</si>
  <si>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</si>
  <si>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</si>
  <si>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</si>
  <si>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</si>
  <si>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</si>
  <si>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</si>
  <si>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</si>
  <si>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</si>
  <si>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</si>
  <si>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</si>
  <si>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</si>
  <si>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</si>
  <si>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</si>
  <si>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</si>
  <si>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</si>
  <si>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</si>
  <si>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Retail</t>
  </si>
  <si>
    <t>Retail 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</si>
  <si>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</si>
  <si>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</si>
  <si>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</si>
  <si>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</si>
  <si>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</si>
  <si>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</si>
  <si>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</si>
  <si>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</si>
  <si>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</si>
  <si>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</si>
  <si>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Mandeg Real Estates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</si>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</sst>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43</v>
      </c>
      <c r="B1" s="160" t="s">
        <v>42</v>
      </c>
      <c r="C1" s="160"/>
      <c r="D1" s="160"/>
      <c r="E1" s="158"/>
      <c r="F1" s="158"/>
      <c r="G1" s="159">
        <v>70003307</v>
      </c>
      <c r="H1" s="158"/>
      <c r="I1" s="157"/>
      <c r="J1" s="52"/>
    </row>
    <row r="2" spans="1:11" ht="20.25" customHeight="1" thickBot="1" x14ac:dyDescent="0.3">
      <c r="A2" s="156" t="s">
        <v>41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40</v>
      </c>
      <c r="B3" s="151" t="s">
        <v>39</v>
      </c>
      <c r="C3" s="151" t="s">
        <v>38</v>
      </c>
      <c r="D3" s="151" t="s">
        <v>37</v>
      </c>
      <c r="E3" s="151" t="s">
        <v>36</v>
      </c>
      <c r="F3" s="150" t="s">
        <v>35</v>
      </c>
      <c r="G3" s="149" t="s">
        <v>34</v>
      </c>
      <c r="H3" s="148" t="s">
        <v>33</v>
      </c>
      <c r="I3" s="147" t="s">
        <v>32</v>
      </c>
      <c r="J3" s="52"/>
    </row>
    <row r="4" spans="1:11" x14ac:dyDescent="0.25">
      <c r="A4" s="145" t="s">
        <v>31</v>
      </c>
      <c r="B4" s="146" t="s">
        <v>30</v>
      </c>
      <c r="C4" s="141" t="s">
        <v>29</v>
      </c>
      <c r="D4" s="141"/>
      <c r="E4" s="141"/>
      <c r="F4" s="144">
        <v>1899</v>
      </c>
      <c r="G4" s="134">
        <v>40</v>
      </c>
      <c r="H4" s="143"/>
      <c r="I4" s="114">
        <f>G4*F4</f>
        <v>75960</v>
      </c>
      <c r="J4" s="52"/>
      <c r="K4" s="113">
        <f>I4*12</f>
        <v>911520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/>
      <c r="J5" s="52"/>
      <c r="K5" s="113">
        <f>I5*12</f>
        <v>0</v>
      </c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/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1899</v>
      </c>
      <c r="G9" s="134">
        <f>I9/F9-H9</f>
        <v>40</v>
      </c>
      <c r="H9" s="133">
        <v>0</v>
      </c>
      <c r="I9" s="133">
        <f>SUM(I4:I8)</f>
        <v>75960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75960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911520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193975/12</f>
        <v>16164.583333333334</v>
      </c>
      <c r="F20" s="85">
        <f>E20*12</f>
        <v>193975</v>
      </c>
      <c r="G20" s="84">
        <f>E20/F9</f>
        <v>8.51215552044936</v>
      </c>
      <c r="H20" s="83">
        <f>F20/I18</f>
        <v>0.21280388801123398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0.03</v>
      </c>
      <c r="I21" s="75">
        <f>+I18*-H21</f>
        <v>-27345.599999999999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57516.616666666669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690199.4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0.13</v>
      </c>
      <c r="I24" s="65">
        <f>+I23/H24</f>
        <v>5309226.153846154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5310000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3720000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0.26365348399246702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0.73634651600753298</v>
      </c>
      <c r="C30" s="44"/>
      <c r="D30" s="43"/>
      <c r="E30" s="42">
        <f>E31 - E29</f>
        <v>3910000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5310000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57516.616666666669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37833.254509609425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2011-08-24T11:53:41Z</dcterms:created>
  <dcterms:modified xsi:type="dcterms:W3CDTF">2011-08-24T11:54:04Z</dcterms:modified>
</cp:coreProperties>
</file>